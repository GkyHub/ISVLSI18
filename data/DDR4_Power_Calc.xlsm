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mc:AlternateContent xmlns:mc="http://schemas.openxmlformats.org/markup-compatibility/2006">
    <mc:Choice Requires="x15">
      <x15ac:absPath xmlns:x15ac="http://schemas.microsoft.com/office/spreadsheetml/2010/11/ac" url="D:\"/>
    </mc:Choice>
  </mc:AlternateContent>
  <bookViews>
    <workbookView xWindow="15" yWindow="-75" windowWidth="23730" windowHeight="14310" activeTab="6"/>
  </bookViews>
  <sheets>
    <sheet name="Title" sheetId="4" r:id="rId1"/>
    <sheet name="Instructions" sheetId="7" r:id="rId2"/>
    <sheet name="DDR4 Spec" sheetId="8" r:id="rId3"/>
    <sheet name="DDR4 Config" sheetId="1" r:id="rId4"/>
    <sheet name="System Config" sheetId="2" r:id="rId5"/>
    <sheet name="Power Calcs" sheetId="5" r:id="rId6"/>
    <sheet name="Summary" sheetId="6" r:id="rId7"/>
    <sheet name="Sheet1" sheetId="9" r:id="rId8"/>
  </sheets>
  <definedNames>
    <definedName name="_xlnm.Print_Area" localSheetId="3">'DDR4 Config'!$B$1:$Q$43</definedName>
    <definedName name="_xlnm.Print_Area" localSheetId="2">'DDR4 Spec'!$B$1:$AM$135</definedName>
    <definedName name="_xlnm.Print_Area" localSheetId="1">Instructions!$A$1:$E$45</definedName>
    <definedName name="_xlnm.Print_Area" localSheetId="5">'Power Calcs'!$B$1:$S$25</definedName>
    <definedName name="_xlnm.Print_Area" localSheetId="6">Summary!$A$1:$M$60</definedName>
    <definedName name="_xlnm.Print_Area" localSheetId="4">'System Config'!$B$1:$F$36</definedName>
    <definedName name="_xlnm.Print_Area" localSheetId="0">Title!$A$1:$E$23</definedName>
  </definedNames>
  <calcPr calcId="162913"/>
</workbook>
</file>

<file path=xl/calcChain.xml><?xml version="1.0" encoding="utf-8"?>
<calcChain xmlns="http://schemas.openxmlformats.org/spreadsheetml/2006/main">
  <c r="K23" i="5" l="1"/>
  <c r="K22" i="5"/>
  <c r="K21" i="5"/>
  <c r="K20" i="5"/>
  <c r="K19" i="5"/>
  <c r="K18" i="5"/>
  <c r="D36" i="5"/>
  <c r="D35" i="5"/>
  <c r="D34" i="5"/>
  <c r="D31" i="5"/>
  <c r="D30" i="5"/>
  <c r="AE49" i="8"/>
  <c r="AB49" i="8"/>
  <c r="AA49" i="8"/>
  <c r="AJ40" i="8"/>
  <c r="AJ49" i="8" s="1"/>
  <c r="AI40" i="8"/>
  <c r="AI49" i="8" s="1"/>
  <c r="AH40" i="8"/>
  <c r="AH49" i="8" s="1"/>
  <c r="AG40" i="8"/>
  <c r="AG49" i="8" s="1"/>
  <c r="AF40" i="8"/>
  <c r="AF49" i="8" s="1"/>
  <c r="AE40" i="8"/>
  <c r="AD40" i="8"/>
  <c r="AD49" i="8" s="1"/>
  <c r="AC40" i="8"/>
  <c r="AC49" i="8" s="1"/>
  <c r="AB40" i="8"/>
  <c r="AA40" i="8"/>
  <c r="N71" i="8"/>
  <c r="M71" i="8"/>
  <c r="L71" i="8"/>
  <c r="K71" i="8"/>
  <c r="J71" i="8"/>
  <c r="I71" i="8"/>
  <c r="H71" i="8"/>
  <c r="G71" i="8"/>
  <c r="F71" i="8"/>
  <c r="E71" i="8"/>
  <c r="N74" i="8"/>
  <c r="M74" i="8"/>
  <c r="L74" i="8"/>
  <c r="K74" i="8"/>
  <c r="J74" i="8"/>
  <c r="I74" i="8"/>
  <c r="H74" i="8"/>
  <c r="G74" i="8"/>
  <c r="F74" i="8"/>
  <c r="E74" i="8"/>
  <c r="Y40" i="8"/>
  <c r="Y49" i="8" s="1"/>
  <c r="X40" i="8"/>
  <c r="X49" i="8" s="1"/>
  <c r="W40" i="8"/>
  <c r="W49" i="8" s="1"/>
  <c r="V40" i="8"/>
  <c r="V49" i="8" s="1"/>
  <c r="U40" i="8"/>
  <c r="U49" i="8" s="1"/>
  <c r="T40" i="8"/>
  <c r="T49" i="8" s="1"/>
  <c r="S40" i="8"/>
  <c r="S49" i="8" s="1"/>
  <c r="R40" i="8"/>
  <c r="R49" i="8" s="1"/>
  <c r="Q40" i="8"/>
  <c r="Q49" i="8" s="1"/>
  <c r="P40" i="8"/>
  <c r="P49" i="8" s="1"/>
  <c r="G40" i="8"/>
  <c r="G49" i="8" s="1"/>
  <c r="F40" i="8"/>
  <c r="F49" i="8" s="1"/>
  <c r="E40" i="8"/>
  <c r="E49" i="8" s="1"/>
  <c r="K49" i="8"/>
  <c r="K40" i="8"/>
  <c r="J40" i="8"/>
  <c r="J49" i="8" s="1"/>
  <c r="I40" i="8"/>
  <c r="I49" i="8" s="1"/>
  <c r="H40" i="8"/>
  <c r="H49" i="8" s="1"/>
  <c r="N62" i="8"/>
  <c r="M62" i="8"/>
  <c r="L62" i="8"/>
  <c r="K62" i="8"/>
  <c r="J62" i="8"/>
  <c r="I62" i="8"/>
  <c r="H62" i="8"/>
  <c r="G62" i="8"/>
  <c r="F62" i="8"/>
  <c r="E62" i="8"/>
  <c r="E61" i="8"/>
  <c r="N14" i="2"/>
  <c r="T15" i="2"/>
  <c r="V14" i="2"/>
  <c r="T14" i="2"/>
  <c r="L14" i="2"/>
  <c r="R16" i="2"/>
  <c r="V15" i="2"/>
  <c r="L19" i="2" l="1"/>
  <c r="L18" i="2"/>
  <c r="J18" i="2"/>
  <c r="R18" i="2"/>
  <c r="R19" i="2" s="1"/>
  <c r="N18" i="2" l="1"/>
  <c r="N20" i="2"/>
  <c r="N19" i="2"/>
  <c r="L20" i="2"/>
  <c r="J19" i="2"/>
  <c r="V18" i="2"/>
  <c r="V19" i="2" l="1"/>
  <c r="V20" i="2"/>
  <c r="D14" i="2"/>
  <c r="D15" i="2"/>
  <c r="D10" i="1" l="1"/>
  <c r="D7" i="1"/>
  <c r="N119" i="8" l="1"/>
  <c r="F27" i="2"/>
  <c r="F26" i="2"/>
  <c r="F24" i="2"/>
  <c r="F23" i="2"/>
  <c r="L91" i="8"/>
  <c r="M91" i="8"/>
  <c r="N91" i="8"/>
  <c r="L92" i="8"/>
  <c r="M92" i="8"/>
  <c r="N92" i="8"/>
  <c r="L93" i="8"/>
  <c r="M93" i="8"/>
  <c r="N93" i="8"/>
  <c r="L94" i="8"/>
  <c r="M94" i="8"/>
  <c r="N94" i="8"/>
  <c r="L95" i="8"/>
  <c r="M95" i="8"/>
  <c r="N95" i="8"/>
  <c r="L96" i="8"/>
  <c r="M96" i="8"/>
  <c r="N96" i="8"/>
  <c r="L97" i="8"/>
  <c r="M97" i="8"/>
  <c r="N97" i="8"/>
  <c r="L98" i="8"/>
  <c r="M98" i="8"/>
  <c r="N98" i="8"/>
  <c r="L100" i="8"/>
  <c r="M100" i="8"/>
  <c r="N100" i="8"/>
  <c r="N59" i="8"/>
  <c r="M59" i="8"/>
  <c r="L59" i="8"/>
  <c r="K59" i="8"/>
  <c r="J59" i="8"/>
  <c r="I59" i="8"/>
  <c r="H59" i="8"/>
  <c r="G59" i="8"/>
  <c r="F59" i="8"/>
  <c r="D106" i="8" s="1"/>
  <c r="D18" i="1" s="1"/>
  <c r="N58" i="8"/>
  <c r="M58" i="8"/>
  <c r="L58" i="8"/>
  <c r="K58" i="8"/>
  <c r="J58" i="8"/>
  <c r="I58" i="8"/>
  <c r="H58" i="8"/>
  <c r="G58" i="8"/>
  <c r="F58" i="8"/>
  <c r="D105" i="8" s="1"/>
  <c r="D17" i="1" s="1"/>
  <c r="N57" i="8"/>
  <c r="M57" i="8"/>
  <c r="L57" i="8"/>
  <c r="K57" i="8"/>
  <c r="J57" i="8"/>
  <c r="I57" i="8"/>
  <c r="H57" i="8"/>
  <c r="G57" i="8"/>
  <c r="F57" i="8"/>
  <c r="N56" i="8"/>
  <c r="M56" i="8"/>
  <c r="L56" i="8"/>
  <c r="K56" i="8"/>
  <c r="J56" i="8"/>
  <c r="I56" i="8"/>
  <c r="H56" i="8"/>
  <c r="G56" i="8"/>
  <c r="F56" i="8"/>
  <c r="E59" i="8"/>
  <c r="E58" i="8"/>
  <c r="E57" i="8"/>
  <c r="E56" i="8"/>
  <c r="N109" i="8"/>
  <c r="N129" i="8"/>
  <c r="N128" i="8"/>
  <c r="N127" i="8"/>
  <c r="N126" i="8"/>
  <c r="N125" i="8"/>
  <c r="N124" i="8"/>
  <c r="N123" i="8"/>
  <c r="N122" i="8"/>
  <c r="N121" i="8"/>
  <c r="N118" i="8"/>
  <c r="N117" i="8"/>
  <c r="N116" i="8"/>
  <c r="N114" i="8"/>
  <c r="N113" i="8"/>
  <c r="N111" i="8"/>
  <c r="N110" i="8"/>
  <c r="N108" i="8"/>
  <c r="N104" i="8"/>
  <c r="N103" i="8"/>
  <c r="K92" i="8"/>
  <c r="J92" i="8"/>
  <c r="I92" i="8"/>
  <c r="H92" i="8"/>
  <c r="G92" i="8"/>
  <c r="F92" i="8"/>
  <c r="E92" i="8"/>
  <c r="K91" i="8"/>
  <c r="J91" i="8"/>
  <c r="I91" i="8"/>
  <c r="H91" i="8"/>
  <c r="G91" i="8"/>
  <c r="F91" i="8"/>
  <c r="E91" i="8"/>
  <c r="O55" i="8"/>
  <c r="L1" i="1"/>
  <c r="D8" i="1"/>
  <c r="N40" i="8"/>
  <c r="N49" i="8" s="1"/>
  <c r="N99" i="8" s="1"/>
  <c r="M40" i="8"/>
  <c r="M49" i="8" s="1"/>
  <c r="M99" i="8" s="1"/>
  <c r="L40" i="8"/>
  <c r="L49" i="8" s="1"/>
  <c r="L99" i="8" s="1"/>
  <c r="F17" i="2"/>
  <c r="O91" i="8" l="1"/>
  <c r="D122" i="8" s="1"/>
  <c r="O71" i="8"/>
  <c r="O74" i="8"/>
  <c r="O92" i="8"/>
  <c r="O62" i="8"/>
  <c r="D20" i="1"/>
  <c r="R22" i="5" s="1"/>
  <c r="F8" i="2"/>
  <c r="O56" i="8"/>
  <c r="O57" i="8"/>
  <c r="O58" i="8"/>
  <c r="O59" i="8"/>
  <c r="E76" i="8"/>
  <c r="D21" i="1"/>
  <c r="D40" i="2"/>
  <c r="D41" i="2" s="1"/>
  <c r="D29" i="2" s="1"/>
  <c r="R17" i="5" s="1"/>
  <c r="D25" i="2"/>
  <c r="F19" i="2"/>
  <c r="P20" i="6"/>
  <c r="P14" i="6"/>
  <c r="P13" i="6"/>
  <c r="P11" i="6"/>
  <c r="P12" i="6"/>
  <c r="P10" i="6"/>
  <c r="P19" i="6"/>
  <c r="P15" i="6"/>
  <c r="P17" i="6"/>
  <c r="P16" i="6"/>
  <c r="P18" i="6"/>
  <c r="B54" i="6"/>
  <c r="E34" i="5"/>
  <c r="E75" i="8"/>
  <c r="E73" i="8"/>
  <c r="E72" i="8"/>
  <c r="E70" i="8"/>
  <c r="E69" i="8"/>
  <c r="E68" i="8"/>
  <c r="E67" i="8"/>
  <c r="E66" i="8"/>
  <c r="E65" i="8"/>
  <c r="E64" i="8"/>
  <c r="E63" i="8"/>
  <c r="N54" i="8"/>
  <c r="M54" i="8"/>
  <c r="L54" i="8"/>
  <c r="K54" i="8"/>
  <c r="J54" i="8"/>
  <c r="I54" i="8"/>
  <c r="H54" i="8"/>
  <c r="G54" i="8"/>
  <c r="F54" i="8"/>
  <c r="E54" i="8"/>
  <c r="I12" i="1"/>
  <c r="I11" i="1"/>
  <c r="I10" i="1"/>
  <c r="I9" i="1"/>
  <c r="D9" i="1" s="1"/>
  <c r="A5" i="6" s="1"/>
  <c r="I8" i="1"/>
  <c r="I7" i="1"/>
  <c r="I6" i="1"/>
  <c r="I5" i="1"/>
  <c r="I4" i="1"/>
  <c r="H100" i="8"/>
  <c r="G100" i="8"/>
  <c r="F100" i="8"/>
  <c r="H99" i="8"/>
  <c r="G99" i="8"/>
  <c r="F99" i="8"/>
  <c r="H98" i="8"/>
  <c r="G98" i="8"/>
  <c r="F98" i="8"/>
  <c r="H97" i="8"/>
  <c r="G97" i="8"/>
  <c r="F97" i="8"/>
  <c r="H96" i="8"/>
  <c r="G96" i="8"/>
  <c r="F96" i="8"/>
  <c r="H95" i="8"/>
  <c r="G95" i="8"/>
  <c r="F95" i="8"/>
  <c r="H94" i="8"/>
  <c r="G94" i="8"/>
  <c r="F94" i="8"/>
  <c r="H93" i="8"/>
  <c r="G93" i="8"/>
  <c r="F93" i="8"/>
  <c r="H90" i="8"/>
  <c r="G90" i="8"/>
  <c r="F90" i="8"/>
  <c r="A49" i="6"/>
  <c r="I90" i="8"/>
  <c r="J90" i="8"/>
  <c r="K90" i="8"/>
  <c r="L90" i="8"/>
  <c r="M90" i="8"/>
  <c r="N90" i="8"/>
  <c r="I93" i="8"/>
  <c r="J93" i="8"/>
  <c r="K93" i="8"/>
  <c r="I94" i="8"/>
  <c r="J94" i="8"/>
  <c r="K94" i="8"/>
  <c r="I95" i="8"/>
  <c r="J95" i="8"/>
  <c r="K95" i="8"/>
  <c r="I96" i="8"/>
  <c r="J96" i="8"/>
  <c r="K96" i="8"/>
  <c r="I97" i="8"/>
  <c r="J97" i="8"/>
  <c r="K97" i="8"/>
  <c r="I98" i="8"/>
  <c r="J98" i="8"/>
  <c r="K98" i="8"/>
  <c r="I99" i="8"/>
  <c r="J99" i="8"/>
  <c r="K99" i="8"/>
  <c r="I100" i="8"/>
  <c r="J100" i="8"/>
  <c r="K100" i="8"/>
  <c r="I3" i="1"/>
  <c r="E100" i="8"/>
  <c r="O100" i="8" s="1"/>
  <c r="E99" i="8"/>
  <c r="E98" i="8"/>
  <c r="O98" i="8" s="1"/>
  <c r="E97" i="8"/>
  <c r="E96" i="8"/>
  <c r="E95" i="8"/>
  <c r="E94" i="8"/>
  <c r="E93" i="8"/>
  <c r="E90" i="8"/>
  <c r="E30" i="5"/>
  <c r="E31" i="5"/>
  <c r="P23" i="5" l="1"/>
  <c r="R23" i="5"/>
  <c r="P22" i="5"/>
  <c r="O97" i="8"/>
  <c r="D126" i="8" s="1"/>
  <c r="D40" i="1" s="1"/>
  <c r="O95" i="8"/>
  <c r="D124" i="8" s="1"/>
  <c r="D38" i="1" s="1"/>
  <c r="O90" i="8"/>
  <c r="D121" i="8" s="1"/>
  <c r="O99" i="8"/>
  <c r="D128" i="8" s="1"/>
  <c r="D42" i="1" s="1"/>
  <c r="O96" i="8"/>
  <c r="D125" i="8" s="1"/>
  <c r="D39" i="1" s="1"/>
  <c r="O94" i="8"/>
  <c r="O93" i="8"/>
  <c r="D123" i="8" s="1"/>
  <c r="D37" i="1" s="1"/>
  <c r="D129" i="8"/>
  <c r="D43" i="1" s="1"/>
  <c r="D127" i="8"/>
  <c r="D41" i="1" s="1"/>
  <c r="E77" i="8"/>
  <c r="D36" i="1"/>
  <c r="D103" i="8"/>
  <c r="D15" i="1" s="1"/>
  <c r="D104" i="8"/>
  <c r="D16" i="1" s="1"/>
  <c r="B53" i="6"/>
  <c r="E35" i="5"/>
  <c r="B52" i="6"/>
  <c r="A51" i="6"/>
  <c r="D12" i="2"/>
  <c r="P20" i="5" l="1"/>
  <c r="R20" i="5"/>
  <c r="D14" i="6" s="1"/>
  <c r="Q13" i="6" s="1"/>
  <c r="D23" i="5"/>
  <c r="J23" i="5" s="1"/>
  <c r="D20" i="5"/>
  <c r="J20" i="5" s="1"/>
  <c r="D22" i="5"/>
  <c r="J22" i="5" s="1"/>
  <c r="F7" i="2"/>
  <c r="E78" i="8"/>
  <c r="O54" i="8"/>
  <c r="D35" i="1"/>
  <c r="E36" i="5"/>
  <c r="B5" i="5" s="1"/>
  <c r="F9" i="2"/>
  <c r="F29" i="2"/>
  <c r="A50" i="6"/>
  <c r="C7" i="6" s="1"/>
  <c r="F20" i="5" l="1"/>
  <c r="L20" i="5" s="1"/>
  <c r="F23" i="5"/>
  <c r="L23" i="5" s="1"/>
  <c r="F22" i="5"/>
  <c r="L22" i="5" s="1"/>
  <c r="E79" i="8"/>
  <c r="E80" i="8" l="1"/>
  <c r="E81" i="8" l="1"/>
  <c r="E82" i="8" l="1"/>
  <c r="E83" i="8" l="1"/>
  <c r="E84" i="8" l="1"/>
  <c r="E85" i="8" l="1"/>
  <c r="E87" i="8" l="1"/>
  <c r="E86" i="8"/>
  <c r="F61" i="8"/>
  <c r="G87" i="8" l="1"/>
  <c r="G86" i="8"/>
  <c r="F87" i="8"/>
  <c r="F86" i="8"/>
  <c r="F63" i="8"/>
  <c r="F64" i="8" l="1"/>
  <c r="F65" i="8" l="1"/>
  <c r="F66" i="8" l="1"/>
  <c r="F67" i="8" l="1"/>
  <c r="F68" i="8" l="1"/>
  <c r="F69" i="8" l="1"/>
  <c r="F70" i="8" l="1"/>
  <c r="F72" i="8" l="1"/>
  <c r="F73" i="8" l="1"/>
  <c r="F75" i="8" l="1"/>
  <c r="F76" i="8" l="1"/>
  <c r="F77" i="8" l="1"/>
  <c r="F78" i="8" l="1"/>
  <c r="F79" i="8" l="1"/>
  <c r="F80" i="8" l="1"/>
  <c r="F81" i="8" l="1"/>
  <c r="F82" i="8" l="1"/>
  <c r="F83" i="8" l="1"/>
  <c r="F84" i="8" l="1"/>
  <c r="F85" i="8" l="1"/>
  <c r="G61" i="8" l="1"/>
  <c r="G63" i="8" l="1"/>
  <c r="G64" i="8" l="1"/>
  <c r="G65" i="8" l="1"/>
  <c r="G66" i="8" l="1"/>
  <c r="G67" i="8" l="1"/>
  <c r="G68" i="8" l="1"/>
  <c r="G69" i="8" l="1"/>
  <c r="G70" i="8" l="1"/>
  <c r="G72" i="8" l="1"/>
  <c r="G73" i="8" l="1"/>
  <c r="G75" i="8" l="1"/>
  <c r="G76" i="8" l="1"/>
  <c r="G77" i="8" l="1"/>
  <c r="G78" i="8" l="1"/>
  <c r="G79" i="8" l="1"/>
  <c r="G80" i="8" l="1"/>
  <c r="G81" i="8" l="1"/>
  <c r="G82" i="8" l="1"/>
  <c r="G83" i="8" l="1"/>
  <c r="G84" i="8" l="1"/>
  <c r="H86" i="8" l="1"/>
  <c r="H87" i="8"/>
  <c r="G85" i="8"/>
  <c r="H61" i="8" l="1"/>
  <c r="H63" i="8" l="1"/>
  <c r="H64" i="8" l="1"/>
  <c r="H65" i="8" l="1"/>
  <c r="H66" i="8" l="1"/>
  <c r="H67" i="8" l="1"/>
  <c r="H68" i="8" l="1"/>
  <c r="H69" i="8" l="1"/>
  <c r="H70" i="8" l="1"/>
  <c r="H72" i="8" l="1"/>
  <c r="H73" i="8" l="1"/>
  <c r="H75" i="8" l="1"/>
  <c r="H76" i="8" l="1"/>
  <c r="H77" i="8" l="1"/>
  <c r="H78" i="8" l="1"/>
  <c r="H79" i="8" l="1"/>
  <c r="H80" i="8" l="1"/>
  <c r="H81" i="8" l="1"/>
  <c r="H82" i="8" l="1"/>
  <c r="H83" i="8" l="1"/>
  <c r="H84" i="8" l="1"/>
  <c r="I87" i="8" l="1"/>
  <c r="I86" i="8"/>
  <c r="H85" i="8"/>
  <c r="I61" i="8" l="1"/>
  <c r="I63" i="8" l="1"/>
  <c r="I64" i="8" l="1"/>
  <c r="I65" i="8" l="1"/>
  <c r="I66" i="8" l="1"/>
  <c r="I67" i="8" l="1"/>
  <c r="I68" i="8" l="1"/>
  <c r="I69" i="8" l="1"/>
  <c r="I70" i="8" l="1"/>
  <c r="I72" i="8" l="1"/>
  <c r="I73" i="8" l="1"/>
  <c r="I75" i="8" l="1"/>
  <c r="I76" i="8" l="1"/>
  <c r="I77" i="8" l="1"/>
  <c r="I78" i="8" l="1"/>
  <c r="I79" i="8" l="1"/>
  <c r="I80" i="8" l="1"/>
  <c r="I81" i="8" l="1"/>
  <c r="I82" i="8" l="1"/>
  <c r="I83" i="8" l="1"/>
  <c r="I84" i="8" l="1"/>
  <c r="J87" i="8" l="1"/>
  <c r="J86" i="8"/>
  <c r="I85" i="8"/>
  <c r="J61" i="8" l="1"/>
  <c r="J63" i="8" l="1"/>
  <c r="J64" i="8" l="1"/>
  <c r="J65" i="8" l="1"/>
  <c r="J66" i="8" l="1"/>
  <c r="J67" i="8" l="1"/>
  <c r="J68" i="8" l="1"/>
  <c r="J69" i="8" l="1"/>
  <c r="J70" i="8" l="1"/>
  <c r="J72" i="8" l="1"/>
  <c r="J73" i="8" l="1"/>
  <c r="J75" i="8" l="1"/>
  <c r="J76" i="8" l="1"/>
  <c r="J77" i="8" l="1"/>
  <c r="J78" i="8" l="1"/>
  <c r="J79" i="8" l="1"/>
  <c r="J80" i="8" l="1"/>
  <c r="J81" i="8" l="1"/>
  <c r="J82" i="8" l="1"/>
  <c r="J83" i="8" l="1"/>
  <c r="J84" i="8" l="1"/>
  <c r="K87" i="8" l="1"/>
  <c r="O87" i="8" s="1"/>
  <c r="K86" i="8"/>
  <c r="O86" i="8" s="1"/>
  <c r="D119" i="8" s="1"/>
  <c r="D33" i="1" s="1"/>
  <c r="J85" i="8"/>
  <c r="K61" i="8" l="1"/>
  <c r="O61" i="8" s="1"/>
  <c r="D108" i="8" s="1"/>
  <c r="D23" i="1" s="1"/>
  <c r="K63" i="8" l="1"/>
  <c r="O63" i="8" s="1"/>
  <c r="K64" i="8" l="1"/>
  <c r="O64" i="8" s="1"/>
  <c r="D109" i="8" s="1"/>
  <c r="D24" i="1" s="1"/>
  <c r="K65" i="8" l="1"/>
  <c r="O65" i="8" s="1"/>
  <c r="K66" i="8" l="1"/>
  <c r="O66" i="8" s="1"/>
  <c r="D110" i="8" s="1"/>
  <c r="D25" i="1" s="1"/>
  <c r="P12" i="5" l="1"/>
  <c r="D12" i="5"/>
  <c r="K67" i="8"/>
  <c r="O67" i="8" s="1"/>
  <c r="J12" i="5" l="1"/>
  <c r="K68" i="8"/>
  <c r="O68" i="8" s="1"/>
  <c r="D111" i="8" s="1"/>
  <c r="D26" i="1" s="1"/>
  <c r="P13" i="5" l="1"/>
  <c r="D13" i="5"/>
  <c r="K69" i="8"/>
  <c r="O69" i="8" s="1"/>
  <c r="J13" i="5" l="1"/>
  <c r="K70" i="8"/>
  <c r="O70" i="8" s="1"/>
  <c r="D113" i="8" s="1"/>
  <c r="D27" i="1" s="1"/>
  <c r="D14" i="5" l="1"/>
  <c r="P14" i="5"/>
  <c r="K72" i="8"/>
  <c r="O72" i="8" s="1"/>
  <c r="J14" i="5" l="1"/>
  <c r="K73" i="8"/>
  <c r="O73" i="8" s="1"/>
  <c r="D114" i="8" s="1"/>
  <c r="D28" i="1" s="1"/>
  <c r="P15" i="5" l="1"/>
  <c r="D15" i="5"/>
  <c r="P17" i="5"/>
  <c r="D17" i="5"/>
  <c r="K75" i="8"/>
  <c r="O75" i="8" s="1"/>
  <c r="J15" i="5" l="1"/>
  <c r="J17" i="5"/>
  <c r="K76" i="8"/>
  <c r="O76" i="8" s="1"/>
  <c r="D115" i="8" s="1"/>
  <c r="D29" i="1" s="1"/>
  <c r="E12" i="5" l="1"/>
  <c r="E14" i="5"/>
  <c r="Q15" i="5"/>
  <c r="Q13" i="5"/>
  <c r="Q14" i="5"/>
  <c r="E13" i="5"/>
  <c r="Q12" i="5"/>
  <c r="E15" i="5"/>
  <c r="Q16" i="5"/>
  <c r="E16" i="5"/>
  <c r="K16" i="5" s="1"/>
  <c r="E17" i="5"/>
  <c r="Q17" i="5"/>
  <c r="R12" i="5"/>
  <c r="R13" i="5"/>
  <c r="R14" i="5"/>
  <c r="R15" i="5"/>
  <c r="K77" i="8"/>
  <c r="O77" i="8" s="1"/>
  <c r="K12" i="5" l="1"/>
  <c r="F12" i="5"/>
  <c r="L12" i="5" s="1"/>
  <c r="K17" i="5"/>
  <c r="F17" i="5"/>
  <c r="L17" i="5" s="1"/>
  <c r="D18" i="6"/>
  <c r="Q16" i="6" s="1"/>
  <c r="K13" i="5"/>
  <c r="F13" i="5"/>
  <c r="L13" i="5" s="1"/>
  <c r="K14" i="5"/>
  <c r="F14" i="5"/>
  <c r="L14" i="5" s="1"/>
  <c r="D20" i="6"/>
  <c r="Q18" i="6" s="1"/>
  <c r="D19" i="6"/>
  <c r="Q17" i="6" s="1"/>
  <c r="D17" i="6"/>
  <c r="Q15" i="6" s="1"/>
  <c r="D10" i="6"/>
  <c r="K15" i="5"/>
  <c r="F15" i="5"/>
  <c r="L15" i="5" s="1"/>
  <c r="K78" i="8"/>
  <c r="O78" i="8" s="1"/>
  <c r="D11" i="6" l="1"/>
  <c r="Q10" i="6"/>
  <c r="K79" i="8"/>
  <c r="O79" i="8" s="1"/>
  <c r="K80" i="8" l="1"/>
  <c r="O80" i="8" s="1"/>
  <c r="D116" i="8" s="1"/>
  <c r="D30" i="1" s="1"/>
  <c r="D19" i="5" l="1"/>
  <c r="R19" i="5"/>
  <c r="P19" i="5"/>
  <c r="K81" i="8"/>
  <c r="O81" i="8" s="1"/>
  <c r="D12" i="6" l="1"/>
  <c r="Q11" i="6" s="1"/>
  <c r="J19" i="5"/>
  <c r="F19" i="5"/>
  <c r="L19" i="5" s="1"/>
  <c r="K82" i="8"/>
  <c r="O82" i="8" s="1"/>
  <c r="D117" i="8" s="1"/>
  <c r="D31" i="1" s="1"/>
  <c r="D18" i="5" l="1"/>
  <c r="R18" i="5"/>
  <c r="P18" i="5"/>
  <c r="K83" i="8"/>
  <c r="O83" i="8" s="1"/>
  <c r="D13" i="6" l="1"/>
  <c r="Q12" i="6" s="1"/>
  <c r="J18" i="5"/>
  <c r="F18" i="5"/>
  <c r="L18" i="5" s="1"/>
  <c r="K84" i="8"/>
  <c r="O84" i="8" s="1"/>
  <c r="D118" i="8" s="1"/>
  <c r="D32" i="1" s="1"/>
  <c r="D16" i="5" l="1"/>
  <c r="P16" i="5"/>
  <c r="R16" i="5"/>
  <c r="L86" i="8"/>
  <c r="L87" i="8"/>
  <c r="K85" i="8"/>
  <c r="O85" i="8" s="1"/>
  <c r="J16" i="5" l="1"/>
  <c r="F16" i="5"/>
  <c r="L16" i="5" s="1"/>
  <c r="D21" i="6"/>
  <c r="L61" i="8"/>
  <c r="D22" i="6" l="1"/>
  <c r="Q19" i="6"/>
  <c r="L63" i="8"/>
  <c r="L64" i="8" l="1"/>
  <c r="L65" i="8" l="1"/>
  <c r="L66" i="8" l="1"/>
  <c r="L67" i="8" l="1"/>
  <c r="L68" i="8" l="1"/>
  <c r="L69" i="8" l="1"/>
  <c r="L70" i="8" l="1"/>
  <c r="L72" i="8" l="1"/>
  <c r="L73" i="8" l="1"/>
  <c r="L75" i="8" l="1"/>
  <c r="L76" i="8" l="1"/>
  <c r="L77" i="8" l="1"/>
  <c r="L78" i="8" l="1"/>
  <c r="L79" i="8" l="1"/>
  <c r="L80" i="8" l="1"/>
  <c r="L81" i="8" l="1"/>
  <c r="L82" i="8" l="1"/>
  <c r="L83" i="8" l="1"/>
  <c r="L84" i="8" l="1"/>
  <c r="M87" i="8" l="1"/>
  <c r="M86" i="8"/>
  <c r="L85" i="8"/>
  <c r="M61" i="8" l="1"/>
  <c r="M63" i="8" l="1"/>
  <c r="M64" i="8" l="1"/>
  <c r="M65" i="8" l="1"/>
  <c r="M66" i="8" l="1"/>
  <c r="M67" i="8" l="1"/>
  <c r="M68" i="8" l="1"/>
  <c r="M69" i="8" l="1"/>
  <c r="M70" i="8" l="1"/>
  <c r="M72" i="8" l="1"/>
  <c r="M73" i="8" l="1"/>
  <c r="M75" i="8" l="1"/>
  <c r="M76" i="8" l="1"/>
  <c r="M77" i="8" l="1"/>
  <c r="M78" i="8" l="1"/>
  <c r="M79" i="8" l="1"/>
  <c r="M80" i="8" l="1"/>
  <c r="M81" i="8" l="1"/>
  <c r="M82" i="8" l="1"/>
  <c r="M83" i="8" l="1"/>
  <c r="M84" i="8" l="1"/>
  <c r="N87" i="8" l="1"/>
  <c r="N86" i="8"/>
  <c r="M85" i="8"/>
  <c r="N61" i="8" l="1"/>
  <c r="N63" i="8" l="1"/>
  <c r="N64" i="8" l="1"/>
  <c r="N65" i="8" l="1"/>
  <c r="N66" i="8" l="1"/>
  <c r="N67" i="8" l="1"/>
  <c r="N68" i="8" l="1"/>
  <c r="N69" i="8" l="1"/>
  <c r="N70" i="8" l="1"/>
  <c r="N72" i="8" l="1"/>
  <c r="N73" i="8" l="1"/>
  <c r="N75" i="8" l="1"/>
  <c r="N76" i="8" l="1"/>
  <c r="N77" i="8" l="1"/>
  <c r="N78" i="8" l="1"/>
  <c r="N79" i="8" l="1"/>
  <c r="N80" i="8" l="1"/>
  <c r="N81" i="8" l="1"/>
  <c r="N82" i="8" l="1"/>
  <c r="N83" i="8" l="1"/>
  <c r="N85" i="8" l="1"/>
  <c r="N84" i="8"/>
  <c r="Z14" i="2" l="1"/>
  <c r="AF15" i="2"/>
  <c r="T18" i="2"/>
  <c r="T20" i="2" s="1"/>
  <c r="AC15" i="2" l="1"/>
  <c r="AF16" i="2"/>
  <c r="AC14" i="2"/>
  <c r="AF14" i="2"/>
  <c r="AC16" i="2"/>
  <c r="T19" i="2"/>
  <c r="D13" i="2" s="1"/>
  <c r="P21" i="5" l="1"/>
  <c r="R21" i="5"/>
  <c r="D15" i="6" s="1"/>
  <c r="D21" i="5"/>
  <c r="D24" i="6"/>
  <c r="Q20" i="6" s="1"/>
  <c r="R26" i="5"/>
  <c r="R25" i="5" l="1"/>
  <c r="J21" i="5"/>
  <c r="F21" i="5"/>
  <c r="L21" i="5" s="1"/>
  <c r="D16" i="6"/>
  <c r="D23" i="6" s="1"/>
  <c r="Q14" i="6"/>
</calcChain>
</file>

<file path=xl/sharedStrings.xml><?xml version="1.0" encoding="utf-8"?>
<sst xmlns="http://schemas.openxmlformats.org/spreadsheetml/2006/main" count="1082" uniqueCount="372">
  <si>
    <t>Total DRAM Power Consumed</t>
  </si>
  <si>
    <t>Minimum activate-to-activate timing (Same bank)</t>
  </si>
  <si>
    <t>The percentage of the all bank precharge time for which CKE is held LOW</t>
  </si>
  <si>
    <t>Background power used during active power-down</t>
  </si>
  <si>
    <t>The percentage of the at least one bank active time for which CKE is held LOW</t>
  </si>
  <si>
    <t>Power Calcs tab</t>
  </si>
  <si>
    <t>Summary tab</t>
  </si>
  <si>
    <t>VCC</t>
  </si>
  <si>
    <t>mW</t>
  </si>
  <si>
    <t>MHz</t>
  </si>
  <si>
    <t>V</t>
  </si>
  <si>
    <t>mA</t>
  </si>
  <si>
    <t>Read Bandwidth</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</si>
  <si>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</si>
  <si>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</si>
  <si>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</si>
  <si>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</si>
  <si>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</si>
  <si>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</si>
  <si>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</si>
  <si>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</si>
  <si>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</si>
  <si>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</si>
  <si>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</si>
  <si>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</si>
  <si>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</si>
  <si>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</si>
  <si>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</si>
  <si>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</si>
  <si>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</si>
  <si>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</si>
  <si>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</si>
  <si>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</si>
  <si>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</si>
  <si>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</si>
  <si>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</si>
  <si>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</si>
  <si>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</si>
  <si>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</si>
  <si>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</si>
  <si>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</si>
  <si>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</si>
  <si>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</si>
  <si>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</si>
  <si>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</si>
  <si>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</si>
  <si>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</si>
  <si>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</si>
  <si>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</si>
  <si>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</si>
  <si>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</si>
  <si>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</si>
  <si>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</si>
  <si>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</si>
  <si>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DRAM read power</t>
  </si>
  <si>
    <t>DQ output power</t>
  </si>
  <si>
    <t>Average clocks between colum</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</si>
  <si>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</si>
  <si>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</si>
  <si>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</si>
  <si>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</si>
  <si>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</si>
  <si>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</si>
  <si>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</si>
  <si>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</si>
  <si>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</si>
  <si>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</si>
  <si>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</si>
  <si>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</si>
  <si>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</si>
  <si>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</si>
  <si>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</si>
  <si>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</si>
  <si>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</si>
  <si>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</si>
  <si>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</si>
  <si>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</si>
  <si>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</si>
  <si>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</si>
  <si>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</si>
  <si>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</si>
  <si>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</si>
  <si>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</si>
  <si>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</si>
  <si>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</si>
  <si>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</si>
  <si>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</si>
  <si>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</si>
  <si>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</si>
  <si>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</si>
  <si>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</si>
  <si>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</si>
  <si>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</si>
  <si>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</si>
  <si>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</si>
  <si>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</si>
  <si>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</si>
  <si>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</si>
  <si>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</si>
  <si>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</si>
  <si>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</si>
  <si>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</si>
  <si>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</si>
  <si>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</si>
  <si>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</si>
  <si>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</si>
  <si>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</si>
  <si>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</si>
  <si>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</si>
  <si>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</si>
  <si>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</si>
  <si>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</si>
  <si>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</si>
  <si>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</si>
  <si>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</si>
  <si>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</si>
  <si>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</si>
  <si>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</si>
  <si>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</si>
  <si>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</si>
  <si>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</si>
  <si>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</si>
  <si>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</si>
  <si>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</si>
  <si>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</si>
  <si>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</si>
  <si>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</si>
  <si>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</si>
  <si>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</si>
  <si>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</si>
  <si>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</si>
  <si>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</si>
  <si>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</si>
  <si>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</si>
  <si>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</si>
  <si>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</si>
  <si>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</si>
  <si>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</si>
  <si>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</si>
  <si>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</si>
  <si>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</si>
  <si>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</si>
  <si>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</si>
  <si>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</si>
  <si>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</si>
  <si>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</si>
  <si>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</si>
  <si>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</si>
  <si>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</si>
  <si>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</si>
  <si>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</si>
  <si>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</si>
  <si>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</si>
  <si>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</si>
  <si>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</si>
  <si>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</si>
  <si>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</si>
  <si>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</si>
  <si>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</si>
  <si>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</si>
  <si>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</si>
  <si>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r>
      <t>t</t>
    </r>
    <r>
      <rPr>
        <sz val="11"/>
        <rFont val="Arial"/>
        <family val="2"/>
      </rPr>
      <t>CK used for current measurements (see current notes)</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</si>
  <si>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</si>
  <si>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</si>
  <si>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</si>
  <si>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</si>
  <si>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</si>
  <si>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</si>
  <si>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</si>
  <si>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</si>
  <si>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</si>
  <si>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r>
      <t>Power Scaled for Actual System Conditions (DRAM Usage, CK Frequency, and V</t>
    </r>
    <r>
      <rPr>
        <b/>
        <sz val="8"/>
        <color indexed="9"/>
        <rFont val="Arial"/>
        <family val="2"/>
      </rPr>
      <t>CC)</t>
    </r>
  </si>
  <si>
    <t>µs</t>
  </si>
  <si>
    <r>
      <t>t</t>
    </r>
    <r>
      <rPr>
        <sz val="11"/>
        <rFont val="Arial"/>
        <family val="2"/>
      </rPr>
      <t>RRDsch</t>
    </r>
  </si>
  <si>
    <t>dramsupport@micron.com</t>
  </si>
  <si>
    <t>4Gb</t>
  </si>
  <si>
    <t xml:space="preserve">Maximum active power-down standby current </t>
  </si>
  <si>
    <r>
      <t>I</t>
    </r>
    <r>
      <rPr>
        <sz val="9"/>
        <rFont val="Arial"/>
        <family val="2"/>
      </rPr>
      <t>DD</t>
    </r>
    <r>
      <rPr>
        <sz val="11"/>
        <rFont val="Arial"/>
        <family val="2"/>
      </rPr>
      <t>0</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</si>
  <si>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</si>
  <si>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</si>
  <si>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</si>
  <si>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</si>
  <si>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</si>
  <si>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</si>
  <si>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</si>
  <si>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</si>
  <si>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</si>
  <si>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</si>
  <si>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</si>
  <si>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</si>
  <si>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</si>
  <si>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Power is calculated after after scaling for V</t>
    </r>
    <r>
      <rPr>
        <sz val="9"/>
        <rFont val="Arial"/>
        <family val="2"/>
      </rPr>
      <t>DD</t>
    </r>
    <r>
      <rPr>
        <sz val="11"/>
        <rFont val="Arial"/>
        <family val="2"/>
      </rPr>
      <t>.  Next, some powers are scaled for frequency effects to derate from test condition to use condition.  Finally, these numbers are scaled for actual system usage. All parameters are calculated and require no user input.</t>
    </r>
  </si>
  <si>
    <r>
      <t>System V</t>
    </r>
    <r>
      <rPr>
        <sz val="9"/>
        <rFont val="Arial"/>
        <family val="2"/>
      </rPr>
      <t>DD</t>
    </r>
  </si>
  <si>
    <r>
      <t>Row 7 is the actual V</t>
    </r>
    <r>
      <rPr>
        <b/>
        <sz val="8"/>
        <rFont val="Arial"/>
        <family val="2"/>
      </rPr>
      <t>DD</t>
    </r>
    <r>
      <rPr>
        <b/>
        <sz val="10"/>
        <rFont val="Arial"/>
        <family val="2"/>
      </rPr>
      <t xml:space="preserve"> the system is operating at. It is usually set to nominal conditions.</t>
    </r>
  </si>
  <si>
    <t>Row 7 selects which DRAM density.</t>
  </si>
  <si>
    <t>No inputs are required for this tab. It contains a summary of the power used by the DRAM. The power is broken out between:
  — Power to read/write data to and from the DRAM
  — Power to activate the rows
  — Background power for standby modes and refresh</t>
  </si>
  <si>
    <t xml:space="preserve"> </t>
  </si>
  <si>
    <t>-107E</t>
  </si>
  <si>
    <t>-093</t>
  </si>
  <si>
    <t>-093E</t>
  </si>
  <si>
    <t>error</t>
  </si>
  <si>
    <t>RTTuC=</t>
  </si>
  <si>
    <t>RTTu2=</t>
  </si>
  <si>
    <t>RzC=</t>
  </si>
  <si>
    <t>Rz =   (mW)</t>
  </si>
  <si>
    <t>VDDq=</t>
  </si>
  <si>
    <t>Rs1 =   (mW)</t>
  </si>
  <si>
    <t>Rs2=   (mW)</t>
  </si>
  <si>
    <t>Rs2=</t>
  </si>
  <si>
    <t>Rs1=   (mW)</t>
  </si>
  <si>
    <t>RTTd2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</si>
  <si>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</si>
  <si>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</si>
  <si>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</si>
  <si>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</si>
  <si>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</si>
  <si>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</si>
  <si>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</si>
  <si>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</si>
  <si>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READ  I/O  Power</t>
  </si>
  <si>
    <t>WRITE  I/O  Power</t>
  </si>
  <si>
    <t>ratio of reads to writes</t>
  </si>
  <si>
    <t>The above is calculated from page hit rate read/write bus utilization. No entry is necessary.</t>
  </si>
  <si>
    <t xml:space="preserve">                                         Do Not Go Below This Box                                                            Do Not Go Below This Box                                                           Do Not Go Below This Box                                                           Do Not Go Below This Box                                                             Do Not Go Below This Box                                                           Do Not Go Below This Box                                                           Do Not Go Below This Box                                                           Do Not Go Below This Box                  </t>
  </si>
  <si>
    <t>2nd rank DRAM Power Consumed</t>
  </si>
  <si>
    <t>PRE_PDN</t>
  </si>
  <si>
    <t>PRE_STBY</t>
  </si>
  <si>
    <t>ACT_PDN</t>
  </si>
  <si>
    <t>Psys Power Consumption Summary</t>
  </si>
  <si>
    <t>ACT_STBY</t>
  </si>
  <si>
    <t>REF</t>
  </si>
  <si>
    <t>ACT</t>
  </si>
  <si>
    <t>WR</t>
  </si>
  <si>
    <t>RD</t>
  </si>
  <si>
    <t>READ I/O</t>
  </si>
  <si>
    <t>Write ODT</t>
  </si>
  <si>
    <t>TERM 2nd rank</t>
  </si>
  <si>
    <t>8Gb</t>
  </si>
  <si>
    <t>16Gb</t>
  </si>
  <si>
    <t>-083</t>
  </si>
  <si>
    <t>-083E</t>
  </si>
  <si>
    <t>-075</t>
  </si>
  <si>
    <t>-075E</t>
  </si>
  <si>
    <t>Active Bank Precharge Current</t>
  </si>
  <si>
    <r>
      <t>I</t>
    </r>
    <r>
      <rPr>
        <sz val="9"/>
        <rFont val="Arial"/>
        <family val="2"/>
      </rPr>
      <t>PP</t>
    </r>
    <r>
      <rPr>
        <sz val="11"/>
        <rFont val="Arial"/>
        <family val="2"/>
      </rPr>
      <t>0</t>
    </r>
  </si>
  <si>
    <t>Word Line Boost Current</t>
  </si>
  <si>
    <t>5,3</t>
  </si>
  <si>
    <r>
      <t>t</t>
    </r>
    <r>
      <rPr>
        <sz val="11"/>
        <rFont val="Arial"/>
        <family val="2"/>
      </rPr>
      <t>RRD_s</t>
    </r>
  </si>
  <si>
    <t>Minimum activate-to-activate timing (different bank, different BG)</t>
  </si>
  <si>
    <r>
      <t>t</t>
    </r>
    <r>
      <rPr>
        <sz val="11"/>
        <rFont val="Arial"/>
        <family val="2"/>
      </rPr>
      <t>RRD_L</t>
    </r>
  </si>
  <si>
    <t>Minimum activate-to-activate timing (different bank, same BG)</t>
  </si>
  <si>
    <t>DDR4_Power_Calc.XLSM</t>
  </si>
  <si>
    <t>Copyright © 2012 Micron Semiconductor Products, Inc.</t>
  </si>
  <si>
    <t>DDR4 Spec tab (ALL MUST BE VERIFIED FOR A SPECIFIC DRAM DATA SHEET)</t>
  </si>
  <si>
    <t>tCKavg</t>
  </si>
  <si>
    <r>
      <t>t</t>
    </r>
    <r>
      <rPr>
        <sz val="10"/>
        <rFont val="Arial"/>
        <family val="2"/>
      </rPr>
      <t xml:space="preserve">CK used for current measurements </t>
    </r>
  </si>
  <si>
    <r>
      <t>t</t>
    </r>
    <r>
      <rPr>
        <sz val="10"/>
        <rFont val="Arial"/>
        <family val="2"/>
      </rPr>
      <t>RRD_s</t>
    </r>
  </si>
  <si>
    <r>
      <t>t</t>
    </r>
    <r>
      <rPr>
        <sz val="10"/>
        <rFont val="Arial"/>
        <family val="2"/>
      </rPr>
      <t>RRD_L</t>
    </r>
  </si>
  <si>
    <t>Minimum activate-to-activate timing (different BG)</t>
  </si>
  <si>
    <t>Minimum activate-to-activate timing (same BG)</t>
  </si>
  <si>
    <r>
      <t>t</t>
    </r>
    <r>
      <rPr>
        <sz val="11"/>
        <rFont val="Arial"/>
        <family val="2"/>
      </rPr>
      <t>RRD_S</t>
    </r>
  </si>
  <si>
    <t>tCK</t>
  </si>
  <si>
    <t>tbd</t>
  </si>
  <si>
    <t>DDR4 SDRAM Configuration</t>
  </si>
  <si>
    <t>System CK frequency (data rate /2)</t>
  </si>
  <si>
    <t>Calculates the power consumed by a DDR4 SDRAM based on system use parameters and the device data sheet.</t>
  </si>
  <si>
    <t>Maximum standby Ipp current</t>
  </si>
  <si>
    <r>
      <t>Minimum V</t>
    </r>
    <r>
      <rPr>
        <sz val="9"/>
        <rFont val="Arial"/>
        <family val="2"/>
      </rPr>
      <t>PP</t>
    </r>
  </si>
  <si>
    <r>
      <t>Maximum V</t>
    </r>
    <r>
      <rPr>
        <sz val="9"/>
        <rFont val="Arial"/>
        <family val="2"/>
      </rPr>
      <t>PP</t>
    </r>
  </si>
  <si>
    <r>
      <t>I</t>
    </r>
    <r>
      <rPr>
        <sz val="9"/>
        <rFont val="Arial"/>
        <family val="2"/>
      </rPr>
      <t>PP</t>
    </r>
    <r>
      <rPr>
        <sz val="11"/>
        <rFont val="Arial"/>
        <family val="2"/>
      </rPr>
      <t>SB</t>
    </r>
  </si>
  <si>
    <r>
      <t>I</t>
    </r>
    <r>
      <rPr>
        <sz val="8"/>
        <rFont val="Arial"/>
        <family val="2"/>
      </rPr>
      <t>PP</t>
    </r>
    <r>
      <rPr>
        <sz val="10"/>
        <rFont val="Arial"/>
        <family val="2"/>
      </rPr>
      <t>SB</t>
    </r>
  </si>
  <si>
    <r>
      <t>I</t>
    </r>
    <r>
      <rPr>
        <sz val="8"/>
        <rFont val="Arial"/>
        <family val="2"/>
      </rPr>
      <t>PP</t>
    </r>
    <r>
      <rPr>
        <sz val="10"/>
        <rFont val="Arial"/>
        <family val="2"/>
      </rPr>
      <t>0</t>
    </r>
  </si>
  <si>
    <t>System VPP</t>
  </si>
  <si>
    <r>
      <t>Maximum V</t>
    </r>
    <r>
      <rPr>
        <sz val="8"/>
        <rFont val="Arial"/>
        <family val="2"/>
      </rPr>
      <t>PP</t>
    </r>
  </si>
  <si>
    <r>
      <t>Minimum V</t>
    </r>
    <r>
      <rPr>
        <sz val="8"/>
        <rFont val="Arial"/>
        <family val="2"/>
      </rPr>
      <t>PP</t>
    </r>
  </si>
  <si>
    <t xml:space="preserve">must be either BC 4 or BL8 </t>
  </si>
  <si>
    <r>
      <t>DDR4 SDRAM output power per individual DQ on this DRAM during</t>
    </r>
    <r>
      <rPr>
        <sz val="11"/>
        <color indexed="10"/>
        <rFont val="Arial"/>
        <family val="2"/>
      </rPr>
      <t xml:space="preserve"> READ</t>
    </r>
    <r>
      <rPr>
        <sz val="11"/>
        <color indexed="8"/>
        <rFont val="Arial"/>
        <family val="2"/>
      </rPr>
      <t>s from this DRAM</t>
    </r>
  </si>
  <si>
    <t>DDR4 SDRAM termination power per individual DQ during WRITEs to this DRAM</t>
  </si>
  <si>
    <t>The percentage of clock cycles which are terminating read data to another DRAM Rank*</t>
  </si>
  <si>
    <t>The percentage of clock cycles which are terminating write data to another DRAM Rank*</t>
  </si>
  <si>
    <t>* must be 0% for a 1-rank system</t>
  </si>
  <si>
    <r>
      <t>Enter V</t>
    </r>
    <r>
      <rPr>
        <b/>
        <sz val="8"/>
        <rFont val="Arial"/>
        <family val="2"/>
      </rPr>
      <t>DD</t>
    </r>
    <r>
      <rPr>
        <b/>
        <sz val="10"/>
        <rFont val="Arial"/>
        <family val="2"/>
      </rPr>
      <t xml:space="preserve"> tolerance range in rows 7-8.</t>
    </r>
  </si>
  <si>
    <r>
      <t>Enter V</t>
    </r>
    <r>
      <rPr>
        <b/>
        <sz val="8"/>
        <rFont val="Arial"/>
        <family val="2"/>
      </rPr>
      <t>PP</t>
    </r>
    <r>
      <rPr>
        <b/>
        <sz val="10"/>
        <rFont val="Arial"/>
        <family val="2"/>
      </rPr>
      <t xml:space="preserve"> tolerance range in rows 9-10.</t>
    </r>
  </si>
  <si>
    <r>
      <t>Enter I</t>
    </r>
    <r>
      <rPr>
        <b/>
        <sz val="8"/>
        <rFont val="Arial"/>
        <family val="2"/>
      </rPr>
      <t>DD</t>
    </r>
    <r>
      <rPr>
        <b/>
        <sz val="10"/>
        <rFont val="Arial"/>
        <family val="2"/>
      </rPr>
      <t xml:space="preserve"> values for the speed grade under investigation in rows 12-33. Note that there are entries for both x4/x8 devices, as well as x16. If only x4/x8 or x16 is desired, the opposite IDDs are not required but be careful when entering data.</t>
    </r>
  </si>
  <si>
    <r>
      <t>Timing restrictions in rows 35-45 are entered from the data sheet. These determine the test conditions for the I</t>
    </r>
    <r>
      <rPr>
        <b/>
        <sz val="8"/>
        <rFont val="Arial"/>
        <family val="2"/>
      </rPr>
      <t>DD</t>
    </r>
    <r>
      <rPr>
        <b/>
        <sz val="10"/>
        <rFont val="Arial"/>
        <family val="2"/>
      </rPr>
      <t xml:space="preserve"> values and restrictions of normal device operation.</t>
    </r>
  </si>
  <si>
    <t>DDR4 Config Spec tab (ALL MUST BE ENTERED TO IDENTIFY DRAM TO BE USED FOR POWER CALCULATION)</t>
  </si>
  <si>
    <t>Row 8 selects which DRAM density.</t>
  </si>
  <si>
    <t>Row 9 selects the number of DQs.</t>
  </si>
  <si>
    <t>Row 10 selects the starting speed grade.</t>
  </si>
  <si>
    <r>
      <t>Row 8 is the actual V</t>
    </r>
    <r>
      <rPr>
        <b/>
        <sz val="8"/>
        <rFont val="Arial"/>
        <family val="2"/>
      </rPr>
      <t>PP</t>
    </r>
    <r>
      <rPr>
        <b/>
        <sz val="10"/>
        <rFont val="Arial"/>
        <family val="2"/>
      </rPr>
      <t xml:space="preserve"> the system is operating at. It is usually set to nominal conditions.</t>
    </r>
  </si>
  <si>
    <t>Row 9 is the clock rate the DRAM is operating at. This is one half of the data rate.</t>
  </si>
  <si>
    <t>Row 10 is the burst length programmed in the mode register. (The model does not calculate power if burst interrupt is utilized.)</t>
  </si>
  <si>
    <t>Row 17 is the time when all banks are in a precharged state. This is the amount of time when no bank has been activated.</t>
  </si>
  <si>
    <r>
      <t>Row 19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</si>
  <si>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Maximum V</t>
    </r>
    <r>
      <rPr>
        <sz val="9"/>
        <rFont val="Arial"/>
        <family val="2"/>
      </rPr>
      <t xml:space="preserve">DD </t>
    </r>
    <r>
      <rPr>
        <sz val="11"/>
        <rFont val="Arial"/>
        <family val="2"/>
      </rPr>
      <t>active precharge current</t>
    </r>
  </si>
  <si>
    <r>
      <t>Maximum V</t>
    </r>
    <r>
      <rPr>
        <sz val="9"/>
        <rFont val="Arial"/>
        <family val="2"/>
      </rPr>
      <t>PP</t>
    </r>
    <r>
      <rPr>
        <sz val="11"/>
        <rFont val="Arial"/>
        <family val="2"/>
      </rPr>
      <t xml:space="preserve"> active precharge current</t>
    </r>
  </si>
  <si>
    <r>
      <t>Row 12</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</si>
  <si>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13</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</si>
  <si>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t>DDR4 SDRAM termination power per individual DQ during READs from other DRAM Rank*</t>
  </si>
  <si>
    <t>DDR4 SDRAM termination power per individual DQ during WRITEs to other DRAM Rank*</t>
  </si>
  <si>
    <r>
      <t>Row 14</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 Rank</t>
    </r>
    <r>
      <rPr>
        <b/>
        <sz val="10"/>
        <color indexed="8"/>
        <rFont val="Arial"/>
        <family val="2"/>
      </rPr>
      <t xml:space="preserve"> (two or more loads). </t>
    </r>
  </si>
  <si>
    <r>
      <t>Row 15</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 Rank</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</si>
  <si>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</si>
  <si>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r>
      <t>Row 18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2N.</t>
    </r>
  </si>
  <si>
    <r>
      <t>Row 20 is the average time between ACT commands to the DRAM.  Under I</t>
    </r>
    <r>
      <rPr>
        <b/>
        <sz val="8"/>
        <rFont val="Arial"/>
        <family val="2"/>
      </rPr>
      <t>DD</t>
    </r>
    <r>
      <rPr>
        <b/>
        <sz val="10"/>
        <rFont val="Arial"/>
        <family val="2"/>
      </rPr>
      <t xml:space="preserve">0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</si>
  <si>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Row 23 is the percentage of clocks that data is read from the DRAM. This would be equal to the average read bandwidth divided by peak read bandwidth.</t>
  </si>
  <si>
    <t xml:space="preserve">Row 24 is the percentage of clocks that data is written to the DRAM. This would be equal to the average read bandwidth divided by peak read bandwidth. </t>
  </si>
  <si>
    <t>Row 21 is the page hit rate. 0% means there are no page hits (i.e., one read/write per each activate).</t>
  </si>
  <si>
    <t>Row 26 is the percentage of clock cycles the DRAM under investigation is terminating read data from another device. It does not include time when a different DRAM on the bus may be terminating data.</t>
  </si>
  <si>
    <t>Row 27 is the percentage of clock cycles the DRAM under investigation is terminating write data from another device. It does not include time when a different DRAM on the bus may be terminating data.</t>
  </si>
  <si>
    <t>Maximum Active Word line Boost</t>
  </si>
  <si>
    <t>Maximum Standby Word line Boost</t>
  </si>
  <si>
    <r>
      <t>I</t>
    </r>
    <r>
      <rPr>
        <sz val="8"/>
        <rFont val="Arial"/>
        <family val="2"/>
      </rPr>
      <t>DD5</t>
    </r>
  </si>
  <si>
    <r>
      <t>I</t>
    </r>
    <r>
      <rPr>
        <sz val="8"/>
        <rFont val="Arial"/>
        <family val="2"/>
      </rPr>
      <t>PP5</t>
    </r>
  </si>
  <si>
    <t>Maximum Burst Refresh Word line Boost</t>
  </si>
  <si>
    <r>
      <t>I</t>
    </r>
    <r>
      <rPr>
        <sz val="9"/>
        <rFont val="Arial"/>
        <family val="2"/>
      </rPr>
      <t>DD</t>
    </r>
    <r>
      <rPr>
        <sz val="11"/>
        <rFont val="Arial"/>
        <family val="2"/>
      </rPr>
      <t>5</t>
    </r>
  </si>
  <si>
    <r>
      <t>I</t>
    </r>
    <r>
      <rPr>
        <sz val="9"/>
        <rFont val="Arial"/>
        <family val="2"/>
      </rPr>
      <t>PP</t>
    </r>
    <r>
      <rPr>
        <sz val="11"/>
        <rFont val="Arial"/>
        <family val="2"/>
      </rPr>
      <t>5</t>
    </r>
  </si>
  <si>
    <r>
      <t>Maximum V</t>
    </r>
    <r>
      <rPr>
        <sz val="9"/>
        <rFont val="Arial"/>
        <family val="2"/>
      </rPr>
      <t>PP</t>
    </r>
    <r>
      <rPr>
        <sz val="11"/>
        <rFont val="Arial"/>
        <family val="2"/>
      </rPr>
      <t xml:space="preserve"> standby current</t>
    </r>
  </si>
  <si>
    <r>
      <t>Maximum V</t>
    </r>
    <r>
      <rPr>
        <sz val="9"/>
        <rFont val="Arial"/>
        <family val="2"/>
      </rPr>
      <t>PP</t>
    </r>
    <r>
      <rPr>
        <sz val="11"/>
        <rFont val="Arial"/>
        <family val="2"/>
      </rPr>
      <t xml:space="preserve"> burst refresh current</t>
    </r>
  </si>
  <si>
    <t>Off</t>
  </si>
  <si>
    <t>On</t>
  </si>
  <si>
    <t>DBI Mode enabled</t>
  </si>
  <si>
    <t>Total DDR4 SDRAM Power</t>
  </si>
  <si>
    <t>Maximum Power Based on Data Sheet Test Conditions and Maximum Limits when in this state</t>
  </si>
  <si>
    <t>RTTPUC =   (mW)</t>
  </si>
  <si>
    <t>RzC =   (mW)</t>
  </si>
  <si>
    <t>RTTPUd1 =   (mW)</t>
  </si>
  <si>
    <t>RTTPUd2 =   (mW)</t>
  </si>
  <si>
    <t>Rs2=      (mW)</t>
  </si>
  <si>
    <t>Row 11 selects whether DBI Mode is enabled or not</t>
  </si>
  <si>
    <r>
      <t xml:space="preserve">System Config Usage Conditions tab </t>
    </r>
    <r>
      <rPr>
        <b/>
        <sz val="12"/>
        <color indexed="10"/>
        <rFont val="Arial"/>
        <family val="2"/>
      </rPr>
      <t>(ALL MUST BE ENTERED FOR SPECIFIC SYSTEM)</t>
    </r>
  </si>
  <si>
    <t>On right side of page, input drivers' Zo, RTTs, and series resistors (module) values in dark green shaded areas</t>
  </si>
  <si>
    <t>Calculated values in light green; do not make entries in these slots</t>
  </si>
  <si>
    <t>ODT write</t>
  </si>
  <si>
    <t>I/O driver</t>
  </si>
  <si>
    <t>DBI</t>
  </si>
  <si>
    <t>Strobes</t>
  </si>
  <si>
    <t>RTTu2-RD</t>
  </si>
  <si>
    <t>RTTu2-WR</t>
  </si>
  <si>
    <t>0 = Disabled</t>
  </si>
  <si>
    <t>Values that require input are shown in dark green. These will be dependent on how the system accesses the DRAM.</t>
  </si>
  <si>
    <t xml:space="preserve">This value is the DRAM I/O power plus module series resistor power per DQ.   The calculator to the right will estimate and populate the entries to the left </t>
  </si>
  <si>
    <t xml:space="preserve">  Rz1=</t>
  </si>
  <si>
    <t xml:space="preserve">  Rs1=</t>
  </si>
  <si>
    <t xml:space="preserve">  RTTu1=</t>
  </si>
  <si>
    <t xml:space="preserve">  Rs2=</t>
  </si>
  <si>
    <t xml:space="preserve">  RTTu2=</t>
  </si>
  <si>
    <t>Values that require input are shown in white field or in drop box. These will be dependent on how the system accesses the DRAM.</t>
  </si>
  <si>
    <r>
      <t>I</t>
    </r>
    <r>
      <rPr>
        <sz val="9"/>
        <rFont val="Arial"/>
        <family val="2"/>
      </rPr>
      <t>PP3N</t>
    </r>
  </si>
  <si>
    <t>-062E</t>
  </si>
  <si>
    <t>CL:</t>
  </si>
  <si>
    <t xml:space="preserve"> -BM</t>
  </si>
  <si>
    <t xml:space="preserve"> -CR</t>
  </si>
  <si>
    <t xml:space="preserve"> -CP</t>
  </si>
  <si>
    <t xml:space="preserve"> - DR</t>
  </si>
  <si>
    <t xml:space="preserve"> - DT</t>
  </si>
  <si>
    <t xml:space="preserve"> -GU</t>
  </si>
  <si>
    <t xml:space="preserve"> -GX</t>
  </si>
  <si>
    <t xml:space="preserve"> -JB</t>
  </si>
  <si>
    <t>x16:</t>
  </si>
  <si>
    <t>For x16, use equivalent speed grade noted in DDR4 Spec page</t>
  </si>
  <si>
    <t>MDM</t>
  </si>
  <si>
    <t>09005aef84e88212</t>
  </si>
  <si>
    <t>MDM: 09005aef84e88212</t>
  </si>
  <si>
    <t>-068</t>
  </si>
  <si>
    <t>-068E</t>
  </si>
  <si>
    <t>VDD</t>
  </si>
  <si>
    <t>VPP</t>
  </si>
  <si>
    <t>Total</t>
  </si>
  <si>
    <t>Calculated values in green boxes below</t>
  </si>
  <si>
    <t>Enter values in dark blue boxes below</t>
  </si>
  <si>
    <t>DRAM Width (Number of DQs per )</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</si>
</sst>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_(* #,##0.00_);_(* \(#,##0.00\);_(* &quot;-&quot;??_);_(@_)"/>
    <numFmt numFmtId="177" formatCode="0.0"/>
    <numFmt numFmtId="178" formatCode="mmmm\ d\,\ yyyy"/>
    <numFmt numFmtId="179" formatCode="_(* #,##0.0_);_(* \(#,##0.0\);_(* &quot;-&quot;??_);_(@_)"/>
    <numFmt numFmtId="180" formatCode="_(* #,##0_);_(* \(#,##0\);_(* &quot;-&quot;??_);_(@_)"/>
    <numFmt numFmtId="181" formatCode="0.000"/>
  </numFmts>
  <fonts count="58">
    <font>
      <sz val="10"/>
      <name val="Arial"/>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sz val="12"/>
      <name val="Arial"/>
      <family val="2"/>
    </font>
    <font>
      <b/>
      <i/>
      <sz val="10"/>
      <color indexed="8"/>
      <name val="Arial"/>
      <family val="2"/>
    </font>
    <font>
      <sz val="10"/>
      <color theme="0"/>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theme="0" tint="-0.499984740745262"/>
      <name val="Arial"/>
      <family val="2"/>
    </font>
    <font>
      <b/>
      <i/>
      <sz val="10"/>
      <name val="Arial"/>
      <family val="2"/>
    </font>
    <font>
      <b/>
      <i/>
      <sz val="10"/>
      <color rgb="FF002060"/>
      <name val="Arial"/>
      <family val="2"/>
    </font>
    <font>
      <b/>
      <sz val="9"/>
      <color theme="0" tint="-0.34998626667073579"/>
      <name val="Arial"/>
      <family val="2"/>
    </font>
    <font>
      <b/>
      <sz val="10"/>
      <color rgb="FFFF0000"/>
      <name val="Frutiger 55 Roman"/>
      <family val="2"/>
    </font>
    <font>
      <b/>
      <sz val="10"/>
      <color theme="1"/>
      <name val="Arial"/>
      <family val="2"/>
    </font>
    <font>
      <sz val="10"/>
      <color theme="1"/>
      <name val="Arial"/>
      <family val="2"/>
    </font>
    <font>
      <sz val="11"/>
      <color theme="1"/>
      <name val="Arial"/>
      <family val="2"/>
    </font>
    <font>
      <sz val="12"/>
      <color theme="0"/>
      <name val="Arial"/>
      <family val="2"/>
    </font>
    <font>
      <b/>
      <sz val="9"/>
      <color theme="0"/>
      <name val="Arial"/>
      <family val="2"/>
    </font>
    <font>
      <sz val="9"/>
      <name val="宋体"/>
      <family val="3"/>
      <charset val="134"/>
    </font>
  </fonts>
  <fills count="31">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rgb="FFE1FFE1"/>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bgColor indexed="64"/>
      </patternFill>
    </fill>
  </fills>
  <borders count="5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176" fontId="1" fillId="0" borderId="0" applyFont="0" applyFill="0" applyBorder="0" applyAlignment="0" applyProtection="0"/>
    <xf numFmtId="0" fontId="8" fillId="0" borderId="0" applyNumberFormat="0" applyFill="0" applyBorder="0" applyAlignment="0" applyProtection="0">
      <alignment vertical="top"/>
      <protection locked="0"/>
    </xf>
    <xf numFmtId="9" fontId="1" fillId="0" borderId="0" applyFont="0" applyFill="0" applyBorder="0" applyAlignment="0" applyProtection="0"/>
  </cellStyleXfs>
  <cellXfs count="372">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2" fillId="0" borderId="0" xfId="0" applyFont="1" applyAlignment="1"/>
    <xf numFmtId="0" fontId="4" fillId="0" borderId="0" xfId="0" applyFont="1" applyAlignment="1">
      <alignment horizontal="center" vertical="center" wrapText="1"/>
    </xf>
    <xf numFmtId="0" fontId="5" fillId="0" borderId="1" xfId="0" applyFont="1" applyBorder="1"/>
    <xf numFmtId="0" fontId="5" fillId="0" borderId="2" xfId="0" applyFont="1" applyBorder="1"/>
    <xf numFmtId="0" fontId="6" fillId="0" borderId="3" xfId="0" applyFont="1" applyBorder="1" applyAlignment="1">
      <alignment vertical="top"/>
    </xf>
    <xf numFmtId="0" fontId="6" fillId="0" borderId="4" xfId="0" applyFont="1" applyBorder="1" applyAlignment="1">
      <alignment vertical="top"/>
    </xf>
    <xf numFmtId="0" fontId="5" fillId="0" borderId="5" xfId="0" applyFont="1" applyBorder="1" applyAlignment="1">
      <alignment vertical="top" wrapText="1"/>
    </xf>
    <xf numFmtId="0" fontId="6" fillId="0" borderId="6" xfId="0" applyFont="1" applyBorder="1" applyAlignment="1">
      <alignment vertical="top"/>
    </xf>
    <xf numFmtId="0" fontId="6" fillId="0" borderId="0" xfId="0" applyFont="1" applyBorder="1" applyAlignment="1">
      <alignment vertical="top"/>
    </xf>
    <xf numFmtId="178" fontId="5" fillId="0" borderId="7" xfId="0" applyNumberFormat="1" applyFont="1" applyBorder="1" applyAlignment="1">
      <alignment horizontal="left" vertical="top" wrapText="1"/>
    </xf>
    <xf numFmtId="0" fontId="5" fillId="0" borderId="7" xfId="0" applyFont="1" applyBorder="1" applyAlignment="1">
      <alignment vertical="top" wrapText="1"/>
    </xf>
    <xf numFmtId="0" fontId="6" fillId="0" borderId="8" xfId="0" applyFont="1" applyBorder="1" applyAlignment="1">
      <alignment vertical="top"/>
    </xf>
    <xf numFmtId="0" fontId="5" fillId="0" borderId="9" xfId="0" applyFont="1" applyBorder="1" applyAlignment="1">
      <alignment vertical="top" wrapText="1"/>
    </xf>
    <xf numFmtId="0" fontId="5" fillId="0" borderId="0" xfId="0" applyFont="1"/>
    <xf numFmtId="0" fontId="5" fillId="0" borderId="0" xfId="0" quotePrefix="1" applyFont="1" applyAlignment="1">
      <alignment horizontal="center"/>
    </xf>
    <xf numFmtId="0" fontId="5" fillId="0" borderId="0" xfId="0" applyFont="1" applyAlignment="1"/>
    <xf numFmtId="0" fontId="6" fillId="0" borderId="10" xfId="0" applyFont="1" applyBorder="1" applyAlignment="1">
      <alignment vertical="top"/>
    </xf>
    <xf numFmtId="0" fontId="2" fillId="0" borderId="0" xfId="0" applyFont="1"/>
    <xf numFmtId="0" fontId="2" fillId="0" borderId="0" xfId="0" applyFont="1" applyAlignment="1">
      <alignment horizontal="left" vertical="top" wrapText="1"/>
    </xf>
    <xf numFmtId="0" fontId="9" fillId="0" borderId="0" xfId="0" applyFont="1"/>
    <xf numFmtId="0" fontId="2" fillId="0" borderId="0" xfId="0" applyFont="1" applyAlignment="1">
      <alignment wrapText="1"/>
    </xf>
    <xf numFmtId="0" fontId="5" fillId="0" borderId="11" xfId="0" applyFont="1" applyBorder="1"/>
    <xf numFmtId="0" fontId="5" fillId="0" borderId="0" xfId="0" applyFont="1" applyFill="1" applyBorder="1"/>
    <xf numFmtId="0" fontId="12" fillId="0" borderId="0" xfId="0" applyFont="1"/>
    <xf numFmtId="0" fontId="12" fillId="0" borderId="0" xfId="0" applyFont="1" applyAlignment="1">
      <alignment vertical="top"/>
    </xf>
    <xf numFmtId="0" fontId="6" fillId="0" borderId="0" xfId="0" applyFont="1" applyAlignment="1">
      <alignment vertical="top"/>
    </xf>
    <xf numFmtId="0" fontId="6" fillId="0" borderId="0" xfId="0" applyFont="1" applyAlignment="1">
      <alignment horizontal="center" vertical="top"/>
    </xf>
    <xf numFmtId="0" fontId="0" fillId="0" borderId="12" xfId="0" applyBorder="1"/>
    <xf numFmtId="0" fontId="0" fillId="0" borderId="0" xfId="0" applyAlignment="1">
      <alignment vertical="top" wrapText="1"/>
    </xf>
    <xf numFmtId="0" fontId="0" fillId="0" borderId="0" xfId="0" applyAlignment="1">
      <alignment horizontal="center"/>
    </xf>
    <xf numFmtId="0" fontId="0" fillId="0" borderId="0" xfId="0" applyFill="1"/>
    <xf numFmtId="0" fontId="7" fillId="2" borderId="12" xfId="0" quotePrefix="1" applyFont="1" applyFill="1" applyBorder="1" applyAlignment="1">
      <alignment horizontal="right"/>
    </xf>
    <xf numFmtId="0" fontId="7" fillId="2" borderId="13" xfId="0" applyFont="1" applyFill="1" applyBorder="1" applyAlignment="1">
      <alignment horizontal="right"/>
    </xf>
    <xf numFmtId="0" fontId="0" fillId="0" borderId="14" xfId="0" applyBorder="1"/>
    <xf numFmtId="0" fontId="5" fillId="0" borderId="4" xfId="0" applyFont="1" applyBorder="1"/>
    <xf numFmtId="0" fontId="0" fillId="0" borderId="4" xfId="0" applyBorder="1"/>
    <xf numFmtId="0" fontId="17" fillId="0" borderId="0" xfId="0" applyFont="1"/>
    <xf numFmtId="0" fontId="18"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6" fillId="0" borderId="12" xfId="0" applyFont="1" applyFill="1" applyBorder="1" applyAlignment="1">
      <alignment horizontal="center" vertical="center"/>
    </xf>
    <xf numFmtId="0" fontId="14" fillId="0" borderId="0" xfId="0" applyFont="1" applyFill="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2" fillId="0" borderId="0" xfId="0" applyFont="1" applyAlignment="1">
      <alignment vertical="center"/>
    </xf>
    <xf numFmtId="177" fontId="0" fillId="0" borderId="0" xfId="0" applyNumberFormat="1" applyBorder="1"/>
    <xf numFmtId="179" fontId="0" fillId="0" borderId="0" xfId="1" applyNumberFormat="1" applyFont="1" applyBorder="1"/>
    <xf numFmtId="180" fontId="0" fillId="0" borderId="0" xfId="1" applyNumberFormat="1" applyFont="1" applyBorder="1"/>
    <xf numFmtId="0" fontId="0" fillId="0" borderId="0" xfId="1" applyNumberFormat="1" applyFont="1" applyBorder="1"/>
    <xf numFmtId="0" fontId="22" fillId="0" borderId="0" xfId="0" applyFont="1"/>
    <xf numFmtId="0" fontId="24" fillId="0" borderId="0" xfId="0" applyFont="1" applyAlignment="1">
      <alignment vertical="center"/>
    </xf>
    <xf numFmtId="0" fontId="4" fillId="0" borderId="15" xfId="0" applyFont="1" applyBorder="1" applyAlignment="1">
      <alignment vertical="center"/>
    </xf>
    <xf numFmtId="0" fontId="4" fillId="0" borderId="12" xfId="0" applyFont="1" applyBorder="1" applyAlignment="1">
      <alignment vertical="center"/>
    </xf>
    <xf numFmtId="0" fontId="25" fillId="0" borderId="15" xfId="0" applyFont="1" applyBorder="1" applyAlignment="1">
      <alignment vertical="center"/>
    </xf>
    <xf numFmtId="0" fontId="25" fillId="0" borderId="12" xfId="0" applyFont="1" applyBorder="1" applyAlignment="1">
      <alignment vertical="center"/>
    </xf>
    <xf numFmtId="0" fontId="4" fillId="0" borderId="0" xfId="0" applyFont="1" applyAlignment="1">
      <alignment horizontal="center" vertical="center"/>
    </xf>
    <xf numFmtId="0" fontId="29" fillId="0" borderId="12" xfId="0" applyFont="1" applyBorder="1" applyAlignment="1">
      <alignment vertical="center"/>
    </xf>
    <xf numFmtId="0" fontId="4" fillId="0" borderId="0" xfId="0" applyFont="1" applyAlignment="1">
      <alignment vertical="center"/>
    </xf>
    <xf numFmtId="0" fontId="4" fillId="0" borderId="0" xfId="0" applyFont="1" applyAlignment="1">
      <alignment vertical="center" wrapText="1"/>
    </xf>
    <xf numFmtId="0" fontId="2" fillId="3" borderId="16" xfId="0" applyFont="1" applyFill="1" applyBorder="1" applyAlignment="1">
      <alignment vertical="center"/>
    </xf>
    <xf numFmtId="0" fontId="2" fillId="3" borderId="13" xfId="0" applyFont="1" applyFill="1" applyBorder="1" applyAlignment="1">
      <alignment vertical="center"/>
    </xf>
    <xf numFmtId="0" fontId="29" fillId="0" borderId="15" xfId="0" applyFont="1" applyBorder="1" applyAlignment="1">
      <alignment vertical="center"/>
    </xf>
    <xf numFmtId="0" fontId="4" fillId="0" borderId="17" xfId="0" applyFont="1" applyBorder="1" applyAlignment="1">
      <alignment vertical="center"/>
    </xf>
    <xf numFmtId="0" fontId="4" fillId="0" borderId="18" xfId="0" applyFont="1" applyBorder="1" applyAlignment="1">
      <alignment vertical="center"/>
    </xf>
    <xf numFmtId="0" fontId="26" fillId="4" borderId="12" xfId="0" applyFont="1" applyFill="1" applyBorder="1" applyAlignment="1">
      <alignment vertical="center"/>
    </xf>
    <xf numFmtId="0" fontId="26" fillId="4" borderId="12" xfId="0" applyFont="1" applyFill="1" applyBorder="1" applyAlignment="1">
      <alignment vertical="center" wrapText="1"/>
    </xf>
    <xf numFmtId="0" fontId="26" fillId="4" borderId="12" xfId="0" quotePrefix="1" applyFont="1" applyFill="1" applyBorder="1" applyAlignment="1">
      <alignment horizontal="center" vertical="center"/>
    </xf>
    <xf numFmtId="0" fontId="26" fillId="0" borderId="0" xfId="0" applyFont="1" applyAlignment="1">
      <alignment horizontal="center" vertical="center"/>
    </xf>
    <xf numFmtId="0" fontId="25" fillId="0" borderId="0" xfId="0" applyFont="1" applyAlignment="1">
      <alignment horizontal="center" vertical="center"/>
    </xf>
    <xf numFmtId="0" fontId="26" fillId="0" borderId="12" xfId="0" quotePrefix="1" applyFont="1" applyFill="1" applyBorder="1" applyAlignment="1">
      <alignment horizontal="center" vertical="center"/>
    </xf>
    <xf numFmtId="0" fontId="25" fillId="6" borderId="12" xfId="0" applyFont="1" applyFill="1" applyBorder="1" applyAlignment="1">
      <alignment vertical="center"/>
    </xf>
    <xf numFmtId="0" fontId="26" fillId="5" borderId="12" xfId="0" applyFont="1" applyFill="1" applyBorder="1" applyAlignment="1">
      <alignment horizontal="center" vertical="center"/>
    </xf>
    <xf numFmtId="0" fontId="27" fillId="0" borderId="0" xfId="0" applyFont="1" applyAlignment="1">
      <alignment horizontal="center" vertical="center"/>
    </xf>
    <xf numFmtId="0" fontId="27" fillId="0" borderId="0" xfId="0" applyFont="1" applyFill="1" applyAlignment="1">
      <alignment horizontal="center" vertical="center"/>
    </xf>
    <xf numFmtId="0" fontId="26" fillId="0" borderId="12" xfId="0" applyFont="1" applyFill="1" applyBorder="1" applyAlignment="1">
      <alignment horizontal="center" vertical="center"/>
    </xf>
    <xf numFmtId="0" fontId="27" fillId="0" borderId="12" xfId="0" applyFont="1" applyBorder="1" applyAlignment="1">
      <alignment horizontal="center" vertical="center"/>
    </xf>
    <xf numFmtId="0" fontId="30" fillId="0" borderId="12" xfId="0" applyFont="1" applyBorder="1" applyAlignment="1">
      <alignment vertical="center"/>
    </xf>
    <xf numFmtId="0" fontId="25" fillId="0" borderId="16" xfId="0" applyFont="1" applyBorder="1"/>
    <xf numFmtId="0" fontId="25" fillId="0" borderId="15" xfId="0" applyFont="1" applyBorder="1"/>
    <xf numFmtId="0" fontId="25" fillId="0" borderId="19" xfId="0" applyFont="1" applyFill="1" applyBorder="1"/>
    <xf numFmtId="0" fontId="26" fillId="4" borderId="16" xfId="0" applyFont="1" applyFill="1" applyBorder="1" applyAlignment="1">
      <alignment vertical="center"/>
    </xf>
    <xf numFmtId="0" fontId="26" fillId="4" borderId="13" xfId="0" applyFont="1" applyFill="1" applyBorder="1" applyAlignment="1">
      <alignment vertical="center"/>
    </xf>
    <xf numFmtId="0" fontId="26" fillId="4" borderId="13" xfId="0" applyFont="1" applyFill="1" applyBorder="1" applyAlignment="1">
      <alignment horizontal="center" vertical="center"/>
    </xf>
    <xf numFmtId="0" fontId="26" fillId="4" borderId="1" xfId="0" applyFont="1" applyFill="1" applyBorder="1" applyAlignment="1">
      <alignment vertical="center"/>
    </xf>
    <xf numFmtId="0" fontId="31" fillId="0" borderId="12" xfId="0" quotePrefix="1" applyFont="1" applyFill="1" applyBorder="1" applyAlignment="1">
      <alignment horizontal="center" vertical="center"/>
    </xf>
    <xf numFmtId="0" fontId="31" fillId="0" borderId="12" xfId="0" applyFont="1" applyBorder="1" applyAlignment="1">
      <alignment horizontal="center" vertical="center"/>
    </xf>
    <xf numFmtId="0" fontId="31" fillId="0" borderId="12" xfId="0" applyFont="1" applyFill="1" applyBorder="1" applyAlignment="1">
      <alignment horizontal="center" vertical="center"/>
    </xf>
    <xf numFmtId="0" fontId="30" fillId="0" borderId="15" xfId="0" applyFont="1" applyBorder="1" applyAlignment="1">
      <alignment vertical="center"/>
    </xf>
    <xf numFmtId="0" fontId="30" fillId="0" borderId="17" xfId="0" applyFont="1" applyBorder="1" applyAlignment="1">
      <alignment vertical="center"/>
    </xf>
    <xf numFmtId="0" fontId="25" fillId="0" borderId="18" xfId="0" applyFont="1" applyBorder="1" applyAlignment="1">
      <alignment vertical="center"/>
    </xf>
    <xf numFmtId="0" fontId="31" fillId="0" borderId="18" xfId="0" quotePrefix="1" applyFont="1" applyFill="1" applyBorder="1" applyAlignment="1">
      <alignment horizontal="center" vertical="center"/>
    </xf>
    <xf numFmtId="0" fontId="25" fillId="0" borderId="2" xfId="0" applyFont="1" applyBorder="1" applyAlignment="1">
      <alignment horizontal="center" vertical="center"/>
    </xf>
    <xf numFmtId="0" fontId="25" fillId="0" borderId="20" xfId="0" applyFont="1" applyBorder="1" applyAlignment="1">
      <alignment horizontal="center" vertical="center"/>
    </xf>
    <xf numFmtId="0" fontId="25" fillId="0" borderId="16" xfId="0" applyFont="1" applyBorder="1" applyAlignment="1">
      <alignment vertical="top" wrapText="1"/>
    </xf>
    <xf numFmtId="0" fontId="25" fillId="0" borderId="13" xfId="0" applyFont="1" applyBorder="1" applyAlignment="1">
      <alignment horizontal="center" vertical="top"/>
    </xf>
    <xf numFmtId="0" fontId="32" fillId="0" borderId="1" xfId="0" applyFont="1" applyBorder="1" applyAlignment="1">
      <alignment vertical="top"/>
    </xf>
    <xf numFmtId="0" fontId="25" fillId="0" borderId="0" xfId="0" applyFont="1" applyAlignment="1">
      <alignment vertical="top" wrapText="1"/>
    </xf>
    <xf numFmtId="0" fontId="25" fillId="0" borderId="15" xfId="0" applyFont="1" applyBorder="1" applyAlignment="1">
      <alignment vertical="top" wrapText="1"/>
    </xf>
    <xf numFmtId="0" fontId="25" fillId="0" borderId="12" xfId="0" applyFont="1" applyBorder="1" applyAlignment="1">
      <alignment horizontal="center" vertical="top"/>
    </xf>
    <xf numFmtId="0" fontId="32" fillId="0" borderId="2" xfId="0" applyFont="1" applyBorder="1" applyAlignment="1">
      <alignment vertical="top"/>
    </xf>
    <xf numFmtId="0" fontId="31" fillId="0" borderId="2" xfId="0" applyFont="1" applyBorder="1" applyAlignment="1">
      <alignment vertical="top"/>
    </xf>
    <xf numFmtId="0" fontId="25" fillId="0" borderId="21" xfId="0" applyFont="1" applyBorder="1" applyAlignment="1">
      <alignment vertical="top" wrapText="1"/>
    </xf>
    <xf numFmtId="0" fontId="25" fillId="0" borderId="2" xfId="0" applyFont="1" applyBorder="1" applyAlignment="1">
      <alignment vertical="top" wrapText="1"/>
    </xf>
    <xf numFmtId="0" fontId="25" fillId="0" borderId="2" xfId="0" applyFont="1" applyBorder="1" applyAlignment="1">
      <alignment vertical="top"/>
    </xf>
    <xf numFmtId="0" fontId="25" fillId="0" borderId="0" xfId="0" applyFont="1" applyBorder="1" applyAlignment="1">
      <alignment vertical="top"/>
    </xf>
    <xf numFmtId="0" fontId="25" fillId="0" borderId="22" xfId="0" applyFont="1" applyBorder="1" applyAlignment="1">
      <alignment vertical="top" wrapText="1"/>
    </xf>
    <xf numFmtId="0" fontId="25" fillId="0" borderId="18" xfId="0" applyFont="1" applyBorder="1" applyAlignment="1">
      <alignment horizontal="center" vertical="top"/>
    </xf>
    <xf numFmtId="0" fontId="24" fillId="0" borderId="0" xfId="0" applyFont="1" applyAlignment="1">
      <alignment horizontal="center" vertical="top"/>
    </xf>
    <xf numFmtId="0" fontId="24" fillId="0" borderId="0" xfId="0" applyFont="1" applyAlignment="1">
      <alignment vertical="top" wrapText="1"/>
    </xf>
    <xf numFmtId="0" fontId="25" fillId="0" borderId="23" xfId="0" applyFont="1" applyBorder="1" applyAlignment="1">
      <alignment vertical="top"/>
    </xf>
    <xf numFmtId="0" fontId="25" fillId="0" borderId="24" xfId="0" applyFont="1" applyBorder="1" applyAlignment="1">
      <alignment vertical="top"/>
    </xf>
    <xf numFmtId="0" fontId="2" fillId="0" borderId="3" xfId="0" applyFont="1" applyFill="1" applyBorder="1" applyAlignment="1">
      <alignment horizontal="center" vertical="center" wrapText="1"/>
    </xf>
    <xf numFmtId="0" fontId="2" fillId="0" borderId="0" xfId="0" applyFont="1" applyFill="1" applyBorder="1" applyAlignment="1">
      <alignment horizontal="center" vertical="center" wrapText="1"/>
    </xf>
    <xf numFmtId="177" fontId="2" fillId="0" borderId="0" xfId="0" applyNumberFormat="1" applyFont="1" applyAlignment="1">
      <alignment vertical="center"/>
    </xf>
    <xf numFmtId="177" fontId="15" fillId="4" borderId="26" xfId="0" applyNumberFormat="1" applyFont="1" applyFill="1" applyBorder="1" applyAlignment="1">
      <alignment vertical="center"/>
    </xf>
    <xf numFmtId="0" fontId="30" fillId="0" borderId="25" xfId="0" applyFont="1" applyBorder="1" applyAlignment="1">
      <alignment vertical="top"/>
    </xf>
    <xf numFmtId="0" fontId="25" fillId="0" borderId="21" xfId="0" applyFont="1" applyFill="1" applyBorder="1" applyAlignment="1">
      <alignment horizontal="center" vertical="center"/>
    </xf>
    <xf numFmtId="0" fontId="25" fillId="0" borderId="21" xfId="0" applyFont="1" applyBorder="1" applyAlignment="1">
      <alignment horizontal="center" vertical="center"/>
    </xf>
    <xf numFmtId="0" fontId="8" fillId="0" borderId="7" xfId="2" applyBorder="1" applyAlignment="1" applyProtection="1">
      <alignment vertical="top" wrapText="1"/>
    </xf>
    <xf numFmtId="0" fontId="5" fillId="0" borderId="0" xfId="0" applyFont="1" applyAlignment="1">
      <alignment horizontal="center"/>
    </xf>
    <xf numFmtId="0" fontId="4" fillId="0" borderId="2" xfId="0" applyFont="1" applyBorder="1" applyAlignment="1">
      <alignment horizontal="center" vertical="center"/>
    </xf>
    <xf numFmtId="0" fontId="4" fillId="0" borderId="20" xfId="0" applyFont="1" applyBorder="1" applyAlignment="1">
      <alignment horizontal="center" vertical="center"/>
    </xf>
    <xf numFmtId="0" fontId="2" fillId="0" borderId="0" xfId="0" applyFont="1" applyAlignment="1">
      <alignment horizontal="center" vertical="center"/>
    </xf>
    <xf numFmtId="0" fontId="15" fillId="4" borderId="27" xfId="0" applyFont="1" applyFill="1" applyBorder="1" applyAlignment="1">
      <alignment horizontal="center" vertical="center"/>
    </xf>
    <xf numFmtId="0" fontId="0" fillId="0" borderId="0" xfId="0" applyAlignment="1">
      <alignment horizontal="centerContinuous" vertical="top" wrapText="1"/>
    </xf>
    <xf numFmtId="0" fontId="34" fillId="0" borderId="0" xfId="0" applyFont="1" applyAlignment="1">
      <alignment horizontal="centerContinuous" vertical="top" wrapText="1"/>
    </xf>
    <xf numFmtId="0" fontId="23" fillId="0" borderId="0" xfId="0" applyFont="1" applyAlignment="1">
      <alignment horizontal="centerContinuous"/>
    </xf>
    <xf numFmtId="0" fontId="25" fillId="0" borderId="0" xfId="0" applyFont="1" applyAlignment="1">
      <alignment horizontal="centerContinuous" wrapText="1"/>
    </xf>
    <xf numFmtId="0" fontId="23" fillId="0" borderId="0" xfId="0" applyFont="1" applyFill="1" applyBorder="1" applyAlignment="1">
      <alignment horizontal="centerContinuous" wrapText="1"/>
    </xf>
    <xf numFmtId="0" fontId="36" fillId="0" borderId="0" xfId="0" applyFont="1" applyAlignment="1">
      <alignment horizontal="centerContinuous" vertical="top"/>
    </xf>
    <xf numFmtId="0" fontId="23" fillId="0" borderId="0" xfId="0" applyFont="1" applyAlignment="1">
      <alignment horizontal="centerContinuous" vertical="top"/>
    </xf>
    <xf numFmtId="0" fontId="19" fillId="0" borderId="0" xfId="0" applyFont="1" applyAlignment="1">
      <alignment horizontal="centerContinuous" vertical="top"/>
    </xf>
    <xf numFmtId="0" fontId="3" fillId="4" borderId="16" xfId="0" applyFont="1" applyFill="1" applyBorder="1" applyAlignment="1">
      <alignment horizontal="centerContinuous" vertical="center" wrapText="1"/>
    </xf>
    <xf numFmtId="0" fontId="3" fillId="4" borderId="13" xfId="0" applyFont="1" applyFill="1" applyBorder="1" applyAlignment="1">
      <alignment horizontal="centerContinuous" vertical="center" wrapText="1"/>
    </xf>
    <xf numFmtId="0" fontId="3" fillId="4" borderId="1" xfId="0" applyFont="1" applyFill="1" applyBorder="1" applyAlignment="1">
      <alignment horizontal="centerContinuous" vertical="center" wrapText="1"/>
    </xf>
    <xf numFmtId="0" fontId="0" fillId="0" borderId="0" xfId="0" applyAlignment="1">
      <alignment horizontal="center" wrapText="1"/>
    </xf>
    <xf numFmtId="0" fontId="2" fillId="0" borderId="0" xfId="0" applyFont="1" applyAlignment="1">
      <alignment horizontal="center" wrapText="1"/>
    </xf>
    <xf numFmtId="0" fontId="0" fillId="0" borderId="0" xfId="0" quotePrefix="1" applyAlignment="1">
      <alignment horizontal="center" wrapText="1"/>
    </xf>
    <xf numFmtId="0" fontId="4" fillId="0" borderId="0" xfId="0" applyFont="1" applyAlignment="1">
      <alignment horizontal="center" wrapText="1"/>
    </xf>
    <xf numFmtId="0" fontId="40" fillId="0" borderId="0" xfId="0" applyFont="1"/>
    <xf numFmtId="0" fontId="25" fillId="0" borderId="25" xfId="0" applyFont="1" applyBorder="1" applyAlignment="1">
      <alignment vertical="top" wrapText="1"/>
    </xf>
    <xf numFmtId="0" fontId="2" fillId="0" borderId="0" xfId="0" applyFont="1" applyAlignment="1">
      <alignment vertical="top"/>
    </xf>
    <xf numFmtId="0" fontId="2" fillId="0" borderId="0" xfId="0" applyFont="1" applyBorder="1" applyAlignment="1">
      <alignment horizontal="left" vertical="center"/>
    </xf>
    <xf numFmtId="0" fontId="2" fillId="0" borderId="0" xfId="0" applyFont="1" applyBorder="1" applyAlignment="1">
      <alignment vertical="top"/>
    </xf>
    <xf numFmtId="0" fontId="2" fillId="9" borderId="32" xfId="0" applyFont="1" applyFill="1" applyBorder="1" applyAlignment="1">
      <alignment horizontal="center" vertical="center" wrapText="1"/>
    </xf>
    <xf numFmtId="177" fontId="9" fillId="11" borderId="21" xfId="0" applyNumberFormat="1" applyFont="1" applyFill="1" applyBorder="1" applyAlignment="1">
      <alignment horizontal="center" vertical="center"/>
    </xf>
    <xf numFmtId="0" fontId="38" fillId="0" borderId="0" xfId="0" applyFont="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9" fillId="0" borderId="0" xfId="0" applyFont="1" applyAlignment="1">
      <alignment vertical="center" wrapText="1"/>
    </xf>
    <xf numFmtId="0" fontId="43" fillId="0" borderId="0" xfId="0" applyFont="1" applyAlignment="1">
      <alignment horizontal="left" vertical="top" wrapText="1"/>
    </xf>
    <xf numFmtId="0" fontId="9" fillId="0" borderId="0" xfId="0" applyFont="1" applyBorder="1" applyAlignment="1"/>
    <xf numFmtId="0" fontId="4" fillId="9" borderId="2" xfId="0" applyFont="1" applyFill="1" applyBorder="1" applyAlignment="1">
      <alignment horizontal="center" vertical="center"/>
    </xf>
    <xf numFmtId="0" fontId="4" fillId="9" borderId="20" xfId="0" applyFont="1" applyFill="1" applyBorder="1" applyAlignment="1">
      <alignment horizontal="center" vertical="center"/>
    </xf>
    <xf numFmtId="0" fontId="24" fillId="0" borderId="0" xfId="0" applyFont="1" applyAlignment="1">
      <alignment horizontal="right" vertical="center"/>
    </xf>
    <xf numFmtId="177" fontId="0" fillId="0" borderId="0" xfId="0" applyNumberFormat="1"/>
    <xf numFmtId="0" fontId="4" fillId="0" borderId="0" xfId="0" applyFont="1"/>
    <xf numFmtId="177" fontId="4" fillId="0" borderId="0" xfId="0" applyNumberFormat="1" applyFont="1"/>
    <xf numFmtId="0" fontId="44" fillId="12" borderId="0" xfId="0" applyFont="1" applyFill="1"/>
    <xf numFmtId="177" fontId="44" fillId="12" borderId="0" xfId="0" applyNumberFormat="1" applyFont="1" applyFill="1"/>
    <xf numFmtId="0" fontId="25" fillId="0" borderId="0" xfId="0" applyFont="1" applyBorder="1" applyAlignment="1">
      <alignment vertical="center"/>
    </xf>
    <xf numFmtId="177" fontId="25"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8" xfId="0" applyBorder="1"/>
    <xf numFmtId="0" fontId="0" fillId="0" borderId="10" xfId="0" applyBorder="1"/>
    <xf numFmtId="0" fontId="0" fillId="0" borderId="9" xfId="0" applyBorder="1"/>
    <xf numFmtId="0" fontId="27" fillId="7" borderId="35" xfId="0" applyFont="1" applyFill="1" applyBorder="1" applyAlignment="1">
      <alignment vertical="center"/>
    </xf>
    <xf numFmtId="177" fontId="26" fillId="7" borderId="36" xfId="0" applyNumberFormat="1" applyFont="1" applyFill="1" applyBorder="1" applyAlignment="1">
      <alignment vertical="center"/>
    </xf>
    <xf numFmtId="177" fontId="26" fillId="7" borderId="12" xfId="0" applyNumberFormat="1" applyFont="1" applyFill="1" applyBorder="1" applyAlignment="1">
      <alignment vertical="center"/>
    </xf>
    <xf numFmtId="0" fontId="26" fillId="7" borderId="2" xfId="0" applyFont="1" applyFill="1" applyBorder="1" applyAlignment="1">
      <alignment vertical="center"/>
    </xf>
    <xf numFmtId="0" fontId="45" fillId="13" borderId="37" xfId="0" applyFont="1" applyFill="1" applyBorder="1" applyAlignment="1">
      <alignment vertical="center"/>
    </xf>
    <xf numFmtId="0" fontId="45" fillId="13" borderId="38" xfId="0" applyFont="1" applyFill="1" applyBorder="1" applyAlignment="1">
      <alignment vertical="center"/>
    </xf>
    <xf numFmtId="177" fontId="45" fillId="13" borderId="18" xfId="0" applyNumberFormat="1" applyFont="1" applyFill="1" applyBorder="1" applyAlignment="1">
      <alignment vertical="center"/>
    </xf>
    <xf numFmtId="0" fontId="45" fillId="13" borderId="20" xfId="0" applyFont="1" applyFill="1" applyBorder="1" applyAlignment="1">
      <alignment vertical="center"/>
    </xf>
    <xf numFmtId="0" fontId="27" fillId="14" borderId="36" xfId="0" applyFont="1" applyFill="1" applyBorder="1" applyAlignment="1">
      <alignment vertical="center"/>
    </xf>
    <xf numFmtId="0" fontId="26" fillId="14" borderId="35" xfId="0" applyFont="1" applyFill="1" applyBorder="1" applyAlignment="1">
      <alignment vertical="center"/>
    </xf>
    <xf numFmtId="177" fontId="26" fillId="14" borderId="12" xfId="0" applyNumberFormat="1" applyFont="1" applyFill="1" applyBorder="1" applyAlignment="1">
      <alignment vertical="center"/>
    </xf>
    <xf numFmtId="0" fontId="26" fillId="14" borderId="2" xfId="0" applyFont="1" applyFill="1" applyBorder="1" applyAlignment="1">
      <alignment vertical="center"/>
    </xf>
    <xf numFmtId="0" fontId="25" fillId="15" borderId="36" xfId="0" applyFont="1" applyFill="1" applyBorder="1" applyAlignment="1">
      <alignment vertical="center"/>
    </xf>
    <xf numFmtId="0" fontId="24" fillId="15" borderId="35" xfId="0" applyFont="1" applyFill="1" applyBorder="1" applyAlignment="1">
      <alignment vertical="center"/>
    </xf>
    <xf numFmtId="177" fontId="24" fillId="15" borderId="12" xfId="0" applyNumberFormat="1" applyFont="1" applyFill="1" applyBorder="1" applyAlignment="1">
      <alignment vertical="center"/>
    </xf>
    <xf numFmtId="0" fontId="24" fillId="15" borderId="2" xfId="0" applyFont="1" applyFill="1" applyBorder="1" applyAlignment="1">
      <alignment vertical="center"/>
    </xf>
    <xf numFmtId="0" fontId="27" fillId="16" borderId="36" xfId="0" applyFont="1" applyFill="1" applyBorder="1" applyAlignment="1">
      <alignment vertical="center"/>
    </xf>
    <xf numFmtId="0" fontId="26" fillId="16" borderId="35" xfId="0" applyFont="1" applyFill="1" applyBorder="1" applyAlignment="1">
      <alignment vertical="center"/>
    </xf>
    <xf numFmtId="177" fontId="26" fillId="16" borderId="12" xfId="0" applyNumberFormat="1" applyFont="1" applyFill="1" applyBorder="1" applyAlignment="1">
      <alignment vertical="center"/>
    </xf>
    <xf numFmtId="0" fontId="26" fillId="16" borderId="2" xfId="0" applyFont="1" applyFill="1" applyBorder="1" applyAlignment="1">
      <alignment vertical="center"/>
    </xf>
    <xf numFmtId="0" fontId="25" fillId="17" borderId="39" xfId="0" applyFont="1" applyFill="1" applyBorder="1" applyAlignment="1">
      <alignment vertical="center"/>
    </xf>
    <xf numFmtId="0" fontId="25" fillId="17" borderId="40" xfId="0" applyFont="1" applyFill="1" applyBorder="1" applyAlignment="1">
      <alignment vertical="center"/>
    </xf>
    <xf numFmtId="177" fontId="25" fillId="17" borderId="13" xfId="0" applyNumberFormat="1" applyFont="1" applyFill="1" applyBorder="1" applyAlignment="1">
      <alignment vertical="center"/>
    </xf>
    <xf numFmtId="0" fontId="25" fillId="17" borderId="1" xfId="0" applyFont="1" applyFill="1" applyBorder="1" applyAlignment="1">
      <alignment vertical="center"/>
    </xf>
    <xf numFmtId="0" fontId="25" fillId="18" borderId="36" xfId="0" applyFont="1" applyFill="1" applyBorder="1" applyAlignment="1">
      <alignment vertical="center"/>
    </xf>
    <xf numFmtId="0" fontId="25" fillId="18" borderId="35" xfId="0" applyFont="1" applyFill="1" applyBorder="1" applyAlignment="1">
      <alignment vertical="center"/>
    </xf>
    <xf numFmtId="177" fontId="25" fillId="18" borderId="12" xfId="0" applyNumberFormat="1" applyFont="1" applyFill="1" applyBorder="1" applyAlignment="1">
      <alignment vertical="center"/>
    </xf>
    <xf numFmtId="0" fontId="25" fillId="18" borderId="2" xfId="0" applyFont="1" applyFill="1" applyBorder="1" applyAlignment="1">
      <alignment vertical="center"/>
    </xf>
    <xf numFmtId="0" fontId="25" fillId="19" borderId="36" xfId="0" applyFont="1" applyFill="1" applyBorder="1" applyAlignment="1">
      <alignment vertical="center"/>
    </xf>
    <xf numFmtId="0" fontId="25" fillId="19" borderId="35" xfId="0" applyFont="1" applyFill="1" applyBorder="1" applyAlignment="1">
      <alignment vertical="center"/>
    </xf>
    <xf numFmtId="177" fontId="25" fillId="19" borderId="12" xfId="0" applyNumberFormat="1" applyFont="1" applyFill="1" applyBorder="1" applyAlignment="1">
      <alignment vertical="center"/>
    </xf>
    <xf numFmtId="0" fontId="25" fillId="19" borderId="2" xfId="0" applyFont="1" applyFill="1" applyBorder="1" applyAlignment="1">
      <alignment vertical="center"/>
    </xf>
    <xf numFmtId="0" fontId="1" fillId="0" borderId="0" xfId="0" applyFont="1" applyAlignment="1">
      <alignment vertical="top"/>
    </xf>
    <xf numFmtId="0" fontId="2" fillId="0" borderId="0" xfId="0" applyFont="1" applyAlignment="1">
      <alignment horizontal="center" vertical="top"/>
    </xf>
    <xf numFmtId="0" fontId="2" fillId="0" borderId="0" xfId="0" applyFont="1" applyAlignment="1">
      <alignment vertical="top" wrapText="1"/>
    </xf>
    <xf numFmtId="0" fontId="2" fillId="0" borderId="3" xfId="0" applyFont="1" applyBorder="1" applyAlignment="1">
      <alignment vertical="top"/>
    </xf>
    <xf numFmtId="0" fontId="2" fillId="0" borderId="4" xfId="0" applyFont="1" applyBorder="1" applyAlignment="1">
      <alignment vertical="top"/>
    </xf>
    <xf numFmtId="0" fontId="2" fillId="0" borderId="5" xfId="0" applyFont="1" applyBorder="1" applyAlignment="1">
      <alignment vertical="top"/>
    </xf>
    <xf numFmtId="0" fontId="2" fillId="0" borderId="7" xfId="0" applyFont="1" applyBorder="1" applyAlignment="1">
      <alignment vertical="top"/>
    </xf>
    <xf numFmtId="0" fontId="2" fillId="0" borderId="6" xfId="0" applyFont="1" applyBorder="1" applyAlignment="1">
      <alignment vertical="top"/>
    </xf>
    <xf numFmtId="0" fontId="2" fillId="0" borderId="12" xfId="0" applyFont="1" applyFill="1" applyBorder="1" applyAlignment="1">
      <alignment horizontal="center" vertical="center"/>
    </xf>
    <xf numFmtId="177" fontId="2" fillId="0" borderId="12" xfId="0" applyNumberFormat="1" applyFont="1" applyFill="1" applyBorder="1" applyAlignment="1">
      <alignment horizontal="center" vertical="center"/>
    </xf>
    <xf numFmtId="0" fontId="2" fillId="0" borderId="0" xfId="0" applyFont="1" applyFill="1" applyBorder="1" applyAlignment="1">
      <alignment horizontal="center" vertical="center"/>
    </xf>
    <xf numFmtId="177" fontId="2" fillId="0" borderId="0" xfId="0" applyNumberFormat="1" applyFont="1" applyBorder="1" applyAlignment="1">
      <alignment vertical="top"/>
    </xf>
    <xf numFmtId="0" fontId="2" fillId="0" borderId="8" xfId="0" applyFont="1" applyBorder="1" applyAlignment="1">
      <alignment vertical="top"/>
    </xf>
    <xf numFmtId="0" fontId="2" fillId="0" borderId="10" xfId="0" applyFont="1" applyBorder="1" applyAlignment="1">
      <alignment vertical="top"/>
    </xf>
    <xf numFmtId="0" fontId="2" fillId="0" borderId="9" xfId="0" applyFont="1" applyBorder="1" applyAlignment="1">
      <alignment vertical="top"/>
    </xf>
    <xf numFmtId="181" fontId="26" fillId="5" borderId="12" xfId="0" quotePrefix="1" applyNumberFormat="1" applyFont="1" applyFill="1" applyBorder="1" applyAlignment="1">
      <alignment horizontal="center" vertical="center"/>
    </xf>
    <xf numFmtId="181" fontId="26" fillId="5" borderId="12" xfId="0" applyNumberFormat="1" applyFont="1" applyFill="1" applyBorder="1" applyAlignment="1">
      <alignment horizontal="center" vertical="center"/>
    </xf>
    <xf numFmtId="0" fontId="1" fillId="0" borderId="15" xfId="0" applyFont="1" applyBorder="1" applyAlignment="1">
      <alignment vertical="center"/>
    </xf>
    <xf numFmtId="0" fontId="1" fillId="0" borderId="12" xfId="0" applyFont="1" applyBorder="1" applyAlignment="1">
      <alignment vertical="center"/>
    </xf>
    <xf numFmtId="0" fontId="4" fillId="12" borderId="0" xfId="0" applyFont="1" applyFill="1" applyAlignment="1">
      <alignment horizontal="right" vertical="center"/>
    </xf>
    <xf numFmtId="0" fontId="1" fillId="12" borderId="0" xfId="0" applyFont="1" applyFill="1" applyAlignment="1">
      <alignment horizontal="right" vertical="center"/>
    </xf>
    <xf numFmtId="0" fontId="1" fillId="0" borderId="0" xfId="0" applyFont="1" applyAlignment="1">
      <alignment horizontal="center" vertical="center"/>
    </xf>
    <xf numFmtId="0" fontId="2" fillId="21" borderId="28" xfId="0" applyFont="1" applyFill="1" applyBorder="1" applyAlignment="1">
      <alignment horizontal="center" wrapText="1"/>
    </xf>
    <xf numFmtId="0" fontId="2" fillId="0" borderId="45" xfId="0" applyFont="1" applyBorder="1"/>
    <xf numFmtId="0" fontId="2" fillId="23" borderId="31" xfId="0" applyFont="1" applyFill="1" applyBorder="1" applyAlignment="1">
      <alignment horizontal="center" wrapText="1"/>
    </xf>
    <xf numFmtId="0" fontId="2" fillId="0" borderId="33" xfId="0" applyFont="1" applyBorder="1" applyAlignment="1">
      <alignment horizontal="center" wrapText="1"/>
    </xf>
    <xf numFmtId="0" fontId="2" fillId="0" borderId="0" xfId="0" applyFont="1" applyBorder="1" applyAlignment="1">
      <alignment horizontal="center" wrapText="1"/>
    </xf>
    <xf numFmtId="0" fontId="2" fillId="0" borderId="34" xfId="0" applyFont="1" applyBorder="1" applyAlignment="1">
      <alignment horizontal="center" wrapText="1"/>
    </xf>
    <xf numFmtId="0" fontId="2" fillId="21" borderId="33" xfId="0" applyFont="1" applyFill="1" applyBorder="1" applyAlignment="1">
      <alignment horizontal="center" wrapText="1"/>
    </xf>
    <xf numFmtId="0" fontId="2" fillId="0" borderId="0" xfId="0" applyFont="1" applyFill="1" applyBorder="1" applyAlignment="1">
      <alignment horizontal="center" wrapText="1"/>
    </xf>
    <xf numFmtId="0" fontId="2" fillId="23" borderId="34" xfId="0" applyFont="1" applyFill="1" applyBorder="1" applyAlignment="1">
      <alignment horizontal="center" wrapText="1"/>
    </xf>
    <xf numFmtId="0" fontId="2" fillId="21" borderId="29" xfId="0" applyFont="1" applyFill="1" applyBorder="1" applyAlignment="1">
      <alignment horizontal="center" wrapText="1"/>
    </xf>
    <xf numFmtId="0" fontId="2" fillId="0" borderId="41" xfId="0" quotePrefix="1" applyFont="1" applyFill="1" applyBorder="1" applyAlignment="1">
      <alignment horizontal="center" wrapText="1"/>
    </xf>
    <xf numFmtId="0" fontId="2" fillId="23" borderId="30" xfId="0" applyFont="1" applyFill="1" applyBorder="1" applyAlignment="1">
      <alignment horizontal="center" wrapText="1"/>
    </xf>
    <xf numFmtId="0" fontId="0" fillId="24" borderId="14" xfId="0" applyFill="1" applyBorder="1" applyAlignment="1">
      <alignment horizontal="center" wrapText="1"/>
    </xf>
    <xf numFmtId="0" fontId="0" fillId="0" borderId="46" xfId="0" applyBorder="1" applyAlignment="1">
      <alignment horizontal="center" wrapText="1"/>
    </xf>
    <xf numFmtId="0" fontId="0" fillId="24" borderId="46" xfId="0" quotePrefix="1" applyFill="1" applyBorder="1" applyAlignment="1">
      <alignment horizontal="center" wrapText="1"/>
    </xf>
    <xf numFmtId="0" fontId="0" fillId="24" borderId="46" xfId="0" applyFill="1" applyBorder="1" applyAlignment="1">
      <alignment horizontal="center" wrapText="1"/>
    </xf>
    <xf numFmtId="0" fontId="0" fillId="24" borderId="42" xfId="0" applyFill="1" applyBorder="1" applyAlignment="1">
      <alignment horizontal="center" wrapText="1"/>
    </xf>
    <xf numFmtId="0" fontId="0" fillId="22" borderId="14" xfId="0" applyFill="1" applyBorder="1" applyAlignment="1">
      <alignment horizontal="center" wrapText="1"/>
    </xf>
    <xf numFmtId="0" fontId="0" fillId="22" borderId="46" xfId="0" applyFill="1" applyBorder="1" applyAlignment="1">
      <alignment horizontal="center" wrapText="1"/>
    </xf>
    <xf numFmtId="0" fontId="0" fillId="22" borderId="42" xfId="0" applyFill="1" applyBorder="1" applyAlignment="1">
      <alignment horizontal="center" wrapText="1"/>
    </xf>
    <xf numFmtId="181" fontId="4" fillId="0" borderId="0" xfId="0" applyNumberFormat="1" applyFont="1" applyAlignment="1">
      <alignment horizontal="center" vertical="center"/>
    </xf>
    <xf numFmtId="0" fontId="47" fillId="0" borderId="0" xfId="0" applyFont="1" applyAlignment="1">
      <alignment horizontal="center"/>
    </xf>
    <xf numFmtId="0" fontId="47" fillId="0" borderId="0" xfId="0" applyFont="1" applyAlignment="1">
      <alignment horizontal="center" vertical="center"/>
    </xf>
    <xf numFmtId="181" fontId="31" fillId="0" borderId="12" xfId="0" quotePrefix="1" applyNumberFormat="1" applyFont="1" applyFill="1" applyBorder="1" applyAlignment="1">
      <alignment horizontal="center" vertical="center"/>
    </xf>
    <xf numFmtId="0" fontId="1" fillId="0" borderId="28" xfId="0" applyFont="1" applyBorder="1" applyAlignment="1">
      <alignment horizontal="center" wrapText="1"/>
    </xf>
    <xf numFmtId="0" fontId="1" fillId="0" borderId="33" xfId="0" applyFont="1" applyBorder="1" applyAlignment="1">
      <alignment horizontal="center" wrapText="1"/>
    </xf>
    <xf numFmtId="0" fontId="0" fillId="0" borderId="29" xfId="0" applyBorder="1" applyAlignment="1">
      <alignment horizontal="center" wrapText="1"/>
    </xf>
    <xf numFmtId="0" fontId="0" fillId="25" borderId="31" xfId="0" applyFill="1" applyBorder="1" applyAlignment="1">
      <alignment horizontal="center" wrapText="1"/>
    </xf>
    <xf numFmtId="0" fontId="1" fillId="25" borderId="34" xfId="0" quotePrefix="1" applyFont="1" applyFill="1" applyBorder="1" applyAlignment="1">
      <alignment horizontal="center" wrapText="1"/>
    </xf>
    <xf numFmtId="0" fontId="0" fillId="25" borderId="30" xfId="0" applyFill="1" applyBorder="1" applyAlignment="1">
      <alignment horizontal="center" wrapText="1"/>
    </xf>
    <xf numFmtId="0" fontId="48" fillId="0" borderId="0" xfId="0" applyFont="1" applyAlignment="1"/>
    <xf numFmtId="0" fontId="49" fillId="0" borderId="0" xfId="0" applyFont="1" applyAlignment="1"/>
    <xf numFmtId="0" fontId="50" fillId="5" borderId="12" xfId="0" applyFont="1" applyFill="1" applyBorder="1" applyAlignment="1">
      <alignment horizontal="center" vertical="center"/>
    </xf>
    <xf numFmtId="0" fontId="50" fillId="26" borderId="12" xfId="0" applyFont="1" applyFill="1" applyBorder="1" applyAlignment="1">
      <alignment horizontal="center" vertical="center"/>
    </xf>
    <xf numFmtId="0" fontId="51" fillId="0" borderId="7" xfId="0" applyFont="1" applyBorder="1" applyAlignment="1">
      <alignment vertical="top" wrapText="1"/>
    </xf>
    <xf numFmtId="1" fontId="38" fillId="27" borderId="21" xfId="0" applyNumberFormat="1" applyFont="1" applyFill="1" applyBorder="1" applyAlignment="1">
      <alignment horizontal="center" vertical="center"/>
    </xf>
    <xf numFmtId="0" fontId="52" fillId="0" borderId="0" xfId="0" applyFont="1" applyFill="1" applyAlignment="1">
      <alignment vertical="top"/>
    </xf>
    <xf numFmtId="0" fontId="52" fillId="0" borderId="0" xfId="0" applyFont="1" applyFill="1" applyAlignment="1">
      <alignment horizontal="center" vertical="top"/>
    </xf>
    <xf numFmtId="0" fontId="1" fillId="0" borderId="0" xfId="0" applyFont="1" applyAlignment="1">
      <alignment horizontal="center" vertical="top"/>
    </xf>
    <xf numFmtId="0" fontId="1" fillId="0" borderId="46" xfId="0" applyFont="1" applyBorder="1" applyAlignment="1">
      <alignment horizontal="center" wrapText="1"/>
    </xf>
    <xf numFmtId="0" fontId="1" fillId="0" borderId="34" xfId="0" applyFont="1" applyBorder="1" applyAlignment="1">
      <alignment horizontal="center" wrapText="1"/>
    </xf>
    <xf numFmtId="0" fontId="2" fillId="0" borderId="0" xfId="0" applyFont="1" applyBorder="1" applyAlignment="1"/>
    <xf numFmtId="0" fontId="26" fillId="5" borderId="13" xfId="0" quotePrefix="1" applyFont="1" applyFill="1" applyBorder="1" applyAlignment="1">
      <alignment horizontal="center" vertical="center"/>
    </xf>
    <xf numFmtId="177" fontId="42" fillId="10" borderId="12" xfId="0" applyNumberFormat="1" applyFont="1" applyFill="1" applyBorder="1" applyAlignment="1">
      <alignment horizontal="center" vertical="center"/>
    </xf>
    <xf numFmtId="0" fontId="24" fillId="0" borderId="12" xfId="0" applyFont="1" applyBorder="1" applyAlignment="1">
      <alignment horizontal="center" vertical="center"/>
    </xf>
    <xf numFmtId="9" fontId="26" fillId="5" borderId="12" xfId="3" applyFont="1" applyFill="1" applyBorder="1" applyAlignment="1">
      <alignment horizontal="center" vertical="center"/>
    </xf>
    <xf numFmtId="9" fontId="26" fillId="0" borderId="12" xfId="3" applyFont="1" applyFill="1" applyBorder="1" applyAlignment="1">
      <alignment horizontal="center" vertical="center"/>
    </xf>
    <xf numFmtId="9" fontId="24" fillId="0" borderId="0" xfId="3" applyFont="1" applyBorder="1" applyAlignment="1">
      <alignment horizontal="center" vertical="center"/>
    </xf>
    <xf numFmtId="9" fontId="25" fillId="0" borderId="12" xfId="3" applyFont="1" applyBorder="1" applyAlignment="1">
      <alignment horizontal="center" vertical="center"/>
    </xf>
    <xf numFmtId="0" fontId="25" fillId="0" borderId="21" xfId="0" applyFont="1" applyBorder="1" applyAlignment="1">
      <alignment horizontal="right" vertical="top" wrapText="1"/>
    </xf>
    <xf numFmtId="0" fontId="41" fillId="8" borderId="5" xfId="0" applyFont="1" applyFill="1" applyBorder="1" applyAlignment="1">
      <alignment horizontal="center" vertical="center"/>
    </xf>
    <xf numFmtId="0" fontId="41" fillId="8" borderId="27" xfId="0" applyFont="1" applyFill="1" applyBorder="1" applyAlignment="1">
      <alignment horizontal="center" vertical="center"/>
    </xf>
    <xf numFmtId="1" fontId="38" fillId="11" borderId="49" xfId="0" applyNumberFormat="1" applyFont="1" applyFill="1" applyBorder="1" applyAlignment="1">
      <alignment horizontal="center" vertical="center"/>
    </xf>
    <xf numFmtId="1" fontId="38" fillId="11" borderId="27" xfId="0" applyNumberFormat="1" applyFont="1" applyFill="1" applyBorder="1" applyAlignment="1">
      <alignment horizontal="center" vertical="center"/>
    </xf>
    <xf numFmtId="0" fontId="2" fillId="23" borderId="47" xfId="0" applyFont="1" applyFill="1" applyBorder="1" applyAlignment="1">
      <alignment horizontal="left" vertical="center"/>
    </xf>
    <xf numFmtId="0" fontId="2" fillId="23" borderId="48" xfId="0" applyFont="1" applyFill="1" applyBorder="1" applyAlignment="1">
      <alignment horizontal="left" vertical="center"/>
    </xf>
    <xf numFmtId="0" fontId="2" fillId="28" borderId="47" xfId="0" applyFont="1" applyFill="1" applyBorder="1" applyAlignment="1">
      <alignment horizontal="left" vertical="center"/>
    </xf>
    <xf numFmtId="0" fontId="2" fillId="28" borderId="48" xfId="0" applyFont="1" applyFill="1" applyBorder="1" applyAlignment="1">
      <alignment horizontal="left" vertical="center"/>
    </xf>
    <xf numFmtId="0" fontId="52" fillId="0" borderId="49" xfId="0" applyFont="1" applyFill="1" applyBorder="1" applyAlignment="1">
      <alignment horizontal="center" vertical="center"/>
    </xf>
    <xf numFmtId="0" fontId="52" fillId="0" borderId="27" xfId="0" applyFont="1" applyFill="1" applyBorder="1" applyAlignment="1">
      <alignment horizontal="center" vertical="center"/>
    </xf>
    <xf numFmtId="0" fontId="2" fillId="23" borderId="50" xfId="0" applyFont="1" applyFill="1" applyBorder="1" applyAlignment="1">
      <alignment horizontal="left" vertical="center"/>
    </xf>
    <xf numFmtId="181" fontId="5" fillId="0" borderId="7" xfId="0" quotePrefix="1" applyNumberFormat="1" applyFont="1" applyBorder="1" applyAlignment="1">
      <alignment horizontal="left" vertical="top" wrapText="1"/>
    </xf>
    <xf numFmtId="0" fontId="41" fillId="30" borderId="0" xfId="0" applyFont="1" applyFill="1" applyBorder="1" applyAlignment="1">
      <alignment vertical="top"/>
    </xf>
    <xf numFmtId="181" fontId="55" fillId="30" borderId="0" xfId="0" applyNumberFormat="1" applyFont="1" applyFill="1" applyBorder="1" applyAlignment="1">
      <alignment horizontal="center" vertical="center"/>
    </xf>
    <xf numFmtId="0" fontId="2" fillId="29" borderId="26" xfId="0" applyFont="1" applyFill="1" applyBorder="1" applyAlignment="1">
      <alignment horizontal="left" vertical="center"/>
    </xf>
    <xf numFmtId="0" fontId="41" fillId="29" borderId="27" xfId="0" applyFont="1" applyFill="1" applyBorder="1" applyAlignment="1">
      <alignment horizontal="center" vertical="center"/>
    </xf>
    <xf numFmtId="0" fontId="56" fillId="5" borderId="12" xfId="0" applyFont="1" applyFill="1" applyBorder="1" applyAlignment="1">
      <alignment horizontal="center" vertical="center"/>
    </xf>
    <xf numFmtId="0" fontId="56" fillId="26" borderId="12" xfId="0" applyFont="1" applyFill="1" applyBorder="1" applyAlignment="1">
      <alignment horizontal="center" vertical="center"/>
    </xf>
    <xf numFmtId="0" fontId="1" fillId="0" borderId="0" xfId="0" applyFont="1" applyAlignment="1">
      <alignment horizontal="right"/>
    </xf>
    <xf numFmtId="0" fontId="1" fillId="0" borderId="0" xfId="0" applyFont="1" applyAlignment="1">
      <alignment horizontal="center"/>
    </xf>
    <xf numFmtId="0" fontId="45" fillId="5" borderId="12" xfId="0" applyFont="1" applyFill="1" applyBorder="1" applyAlignment="1">
      <alignment horizontal="center" vertical="center"/>
    </xf>
    <xf numFmtId="0" fontId="3" fillId="4" borderId="51" xfId="0" applyFont="1" applyFill="1" applyBorder="1" applyAlignment="1">
      <alignment horizontal="centerContinuous" vertical="center" wrapText="1"/>
    </xf>
    <xf numFmtId="177" fontId="4" fillId="9" borderId="12" xfId="0" applyNumberFormat="1" applyFont="1" applyFill="1" applyBorder="1" applyAlignment="1">
      <alignment horizontal="center" vertical="center"/>
    </xf>
    <xf numFmtId="177" fontId="1" fillId="9" borderId="18" xfId="0" applyNumberFormat="1" applyFont="1" applyFill="1" applyBorder="1" applyAlignment="1">
      <alignment horizontal="center" vertical="center"/>
    </xf>
    <xf numFmtId="0" fontId="3" fillId="4" borderId="44" xfId="0" applyFont="1" applyFill="1" applyBorder="1" applyAlignment="1">
      <alignment horizontal="centerContinuous" vertical="center" wrapText="1"/>
    </xf>
    <xf numFmtId="0" fontId="3" fillId="4" borderId="52" xfId="0" applyFont="1" applyFill="1" applyBorder="1" applyAlignment="1">
      <alignment horizontal="centerContinuous" vertical="center" wrapText="1"/>
    </xf>
    <xf numFmtId="0" fontId="3" fillId="4" borderId="42" xfId="0" applyFont="1" applyFill="1" applyBorder="1" applyAlignment="1">
      <alignment horizontal="center" vertical="center" wrapText="1"/>
    </xf>
    <xf numFmtId="0" fontId="3" fillId="4" borderId="53" xfId="0" applyFont="1" applyFill="1" applyBorder="1" applyAlignment="1">
      <alignment horizontal="centerContinuous" vertical="center" wrapText="1"/>
    </xf>
    <xf numFmtId="0" fontId="3" fillId="4" borderId="29" xfId="0" applyFont="1" applyFill="1" applyBorder="1" applyAlignment="1">
      <alignment horizontal="center" vertical="center" wrapText="1"/>
    </xf>
    <xf numFmtId="177" fontId="4" fillId="9" borderId="32" xfId="0" applyNumberFormat="1" applyFont="1" applyFill="1" applyBorder="1" applyAlignment="1">
      <alignment horizontal="center" vertical="center"/>
    </xf>
    <xf numFmtId="177" fontId="4" fillId="0" borderId="12" xfId="0" applyNumberFormat="1" applyFont="1" applyBorder="1" applyAlignment="1">
      <alignment horizontal="center" vertical="center"/>
    </xf>
    <xf numFmtId="177" fontId="4" fillId="0" borderId="21" xfId="0" applyNumberFormat="1" applyFont="1" applyBorder="1" applyAlignment="1">
      <alignment horizontal="center" vertical="center"/>
    </xf>
    <xf numFmtId="177" fontId="4" fillId="0" borderId="22" xfId="0" applyNumberFormat="1" applyFont="1" applyBorder="1" applyAlignment="1">
      <alignment horizontal="center" vertical="center"/>
    </xf>
    <xf numFmtId="177" fontId="4" fillId="0" borderId="18" xfId="0" applyNumberFormat="1" applyFont="1" applyBorder="1" applyAlignment="1">
      <alignment horizontal="center" vertical="center"/>
    </xf>
    <xf numFmtId="0" fontId="4" fillId="0" borderId="39" xfId="0" applyFont="1" applyBorder="1" applyAlignment="1">
      <alignment vertical="center" wrapText="1"/>
    </xf>
    <xf numFmtId="0" fontId="4" fillId="0" borderId="36" xfId="0" applyFont="1" applyBorder="1" applyAlignment="1">
      <alignment vertical="center" wrapText="1"/>
    </xf>
    <xf numFmtId="0" fontId="4" fillId="0" borderId="36" xfId="0" applyFont="1" applyFill="1" applyBorder="1" applyAlignment="1">
      <alignment vertical="center" wrapText="1"/>
    </xf>
    <xf numFmtId="0" fontId="4" fillId="0" borderId="37" xfId="0" applyFont="1" applyBorder="1" applyAlignment="1">
      <alignment vertical="center" wrapText="1"/>
    </xf>
    <xf numFmtId="0" fontId="4" fillId="9" borderId="15" xfId="0" applyFont="1" applyFill="1" applyBorder="1" applyAlignment="1">
      <alignment vertical="center"/>
    </xf>
    <xf numFmtId="0" fontId="4" fillId="9" borderId="17" xfId="0" applyFont="1" applyFill="1" applyBorder="1" applyAlignment="1">
      <alignment vertical="center"/>
    </xf>
    <xf numFmtId="177" fontId="4" fillId="9" borderId="54" xfId="0" applyNumberFormat="1" applyFont="1" applyFill="1" applyBorder="1" applyAlignment="1">
      <alignment horizontal="center" vertical="center"/>
    </xf>
    <xf numFmtId="0" fontId="25" fillId="0" borderId="12" xfId="0" applyFont="1" applyBorder="1" applyAlignment="1">
      <alignment horizontal="left" vertical="center" wrapText="1"/>
    </xf>
    <xf numFmtId="0" fontId="25" fillId="0" borderId="32" xfId="0" applyFont="1" applyBorder="1" applyAlignment="1">
      <alignment horizontal="center" vertical="center"/>
    </xf>
    <xf numFmtId="0" fontId="25" fillId="0" borderId="35" xfId="0" applyFont="1" applyBorder="1" applyAlignment="1">
      <alignment horizontal="center" vertical="center"/>
    </xf>
    <xf numFmtId="0" fontId="25" fillId="0" borderId="21" xfId="0" applyFont="1" applyBorder="1" applyAlignment="1">
      <alignment horizontal="center" vertical="center"/>
    </xf>
    <xf numFmtId="0" fontId="25" fillId="0" borderId="12" xfId="0" applyFont="1" applyBorder="1" applyAlignment="1">
      <alignment vertical="center" wrapText="1"/>
    </xf>
    <xf numFmtId="0" fontId="25" fillId="0" borderId="32" xfId="0" applyFont="1" applyFill="1" applyBorder="1" applyAlignment="1">
      <alignment horizontal="center" vertical="center"/>
    </xf>
    <xf numFmtId="0" fontId="25" fillId="0" borderId="35" xfId="0" applyFont="1" applyFill="1" applyBorder="1" applyAlignment="1">
      <alignment horizontal="center" vertical="center"/>
    </xf>
    <xf numFmtId="0" fontId="25" fillId="0" borderId="21" xfId="0" applyFont="1" applyFill="1" applyBorder="1" applyAlignment="1">
      <alignment horizontal="center" vertical="center"/>
    </xf>
    <xf numFmtId="0" fontId="25" fillId="0" borderId="32" xfId="0" applyFont="1" applyBorder="1" applyAlignment="1">
      <alignment vertical="center" wrapText="1"/>
    </xf>
    <xf numFmtId="0" fontId="25" fillId="0" borderId="21" xfId="0" applyFont="1" applyBorder="1" applyAlignment="1">
      <alignment vertical="center" wrapText="1"/>
    </xf>
    <xf numFmtId="0" fontId="25" fillId="0" borderId="14" xfId="0" applyFont="1" applyBorder="1" applyAlignment="1">
      <alignment horizontal="left" vertical="center" wrapText="1"/>
    </xf>
    <xf numFmtId="0" fontId="25" fillId="0" borderId="46" xfId="0" applyFont="1" applyBorder="1" applyAlignment="1">
      <alignment horizontal="left" vertical="center" wrapText="1"/>
    </xf>
    <xf numFmtId="0" fontId="25" fillId="0" borderId="42" xfId="0" applyFont="1" applyBorder="1" applyAlignment="1">
      <alignment horizontal="left" vertical="center" wrapText="1"/>
    </xf>
    <xf numFmtId="0" fontId="25" fillId="0" borderId="12" xfId="0" applyFont="1" applyBorder="1" applyAlignment="1">
      <alignment horizontal="left" vertical="center"/>
    </xf>
    <xf numFmtId="0" fontId="25" fillId="0" borderId="14" xfId="0" applyFont="1" applyBorder="1" applyAlignment="1">
      <alignment horizontal="left" vertical="center"/>
    </xf>
    <xf numFmtId="0" fontId="25" fillId="0" borderId="42" xfId="0" applyFont="1" applyBorder="1" applyAlignment="1">
      <alignment horizontal="left" vertical="center"/>
    </xf>
    <xf numFmtId="0" fontId="25" fillId="0" borderId="14" xfId="0" applyFont="1" applyBorder="1" applyAlignment="1">
      <alignment vertical="center"/>
    </xf>
    <xf numFmtId="0" fontId="25" fillId="0" borderId="42" xfId="0" applyFont="1" applyBorder="1" applyAlignment="1">
      <alignment vertical="center"/>
    </xf>
    <xf numFmtId="0" fontId="25" fillId="0" borderId="28" xfId="0" applyFont="1" applyBorder="1" applyAlignment="1">
      <alignment vertical="center" wrapText="1"/>
    </xf>
    <xf numFmtId="0" fontId="25" fillId="0" borderId="29" xfId="0" applyFont="1" applyBorder="1" applyAlignment="1">
      <alignment vertical="center" wrapText="1"/>
    </xf>
    <xf numFmtId="0" fontId="30" fillId="0" borderId="14" xfId="0" applyFont="1" applyBorder="1" applyAlignment="1">
      <alignment horizontal="left" vertical="center"/>
    </xf>
    <xf numFmtId="0" fontId="30" fillId="0" borderId="42" xfId="0" applyFont="1" applyBorder="1" applyAlignment="1">
      <alignment horizontal="left" vertical="center"/>
    </xf>
    <xf numFmtId="0" fontId="30" fillId="0" borderId="12" xfId="0" applyFont="1" applyBorder="1" applyAlignment="1">
      <alignment vertical="center" wrapText="1"/>
    </xf>
    <xf numFmtId="0" fontId="3" fillId="4" borderId="41" xfId="0" applyFont="1" applyFill="1" applyBorder="1" applyAlignment="1">
      <alignment horizontal="center" vertical="center"/>
    </xf>
    <xf numFmtId="0" fontId="4" fillId="20" borderId="32" xfId="0" applyFont="1" applyFill="1" applyBorder="1" applyAlignment="1">
      <alignment vertical="center"/>
    </xf>
    <xf numFmtId="0" fontId="0" fillId="20" borderId="35" xfId="0" applyFill="1" applyBorder="1" applyAlignment="1">
      <alignment vertical="center"/>
    </xf>
    <xf numFmtId="0" fontId="0" fillId="20" borderId="21" xfId="0" applyFill="1" applyBorder="1" applyAlignment="1">
      <alignment vertical="center"/>
    </xf>
    <xf numFmtId="0" fontId="23" fillId="0" borderId="0" xfId="0" applyFont="1" applyAlignment="1">
      <alignment horizontal="center"/>
    </xf>
    <xf numFmtId="0" fontId="19" fillId="0" borderId="0" xfId="0" applyFont="1" applyAlignment="1">
      <alignment horizontal="center"/>
    </xf>
    <xf numFmtId="0" fontId="26" fillId="5" borderId="26" xfId="0" applyFont="1" applyFill="1" applyBorder="1" applyAlignment="1">
      <alignment horizontal="center" vertical="top" wrapText="1"/>
    </xf>
    <xf numFmtId="0" fontId="26" fillId="5" borderId="27" xfId="0" applyFont="1" applyFill="1" applyBorder="1" applyAlignment="1">
      <alignment horizontal="center" vertical="top" wrapText="1"/>
    </xf>
    <xf numFmtId="177" fontId="42" fillId="10" borderId="26" xfId="0" applyNumberFormat="1" applyFont="1" applyFill="1" applyBorder="1" applyAlignment="1">
      <alignment horizontal="center" vertical="center" wrapText="1"/>
    </xf>
    <xf numFmtId="0" fontId="0" fillId="0" borderId="27" xfId="0" applyBorder="1" applyAlignment="1">
      <alignment wrapText="1"/>
    </xf>
    <xf numFmtId="0" fontId="46" fillId="0" borderId="26" xfId="0" applyFont="1" applyBorder="1" applyAlignment="1">
      <alignment horizontal="center" vertical="center"/>
    </xf>
    <xf numFmtId="0" fontId="46" fillId="0" borderId="43" xfId="0" applyFont="1" applyBorder="1" applyAlignment="1">
      <alignment horizontal="center" vertical="center"/>
    </xf>
    <xf numFmtId="0" fontId="46" fillId="0" borderId="27" xfId="0" applyFont="1" applyBorder="1" applyAlignment="1">
      <alignment horizontal="center" vertical="center"/>
    </xf>
    <xf numFmtId="0" fontId="9" fillId="0" borderId="43" xfId="0" applyFont="1" applyBorder="1" applyAlignment="1">
      <alignment horizontal="center" vertical="center"/>
    </xf>
    <xf numFmtId="0" fontId="9" fillId="0" borderId="27" xfId="0" applyFont="1" applyBorder="1" applyAlignment="1">
      <alignment horizontal="center" vertical="center"/>
    </xf>
    <xf numFmtId="0" fontId="25" fillId="0" borderId="11" xfId="0" applyFont="1" applyBorder="1" applyAlignment="1">
      <alignment vertical="top" wrapText="1"/>
    </xf>
    <xf numFmtId="0" fontId="0" fillId="0" borderId="44" xfId="0" applyBorder="1" applyAlignment="1">
      <alignment vertical="top" wrapText="1"/>
    </xf>
    <xf numFmtId="0" fontId="54" fillId="23" borderId="3" xfId="0" applyFont="1" applyFill="1" applyBorder="1" applyAlignment="1">
      <alignment horizontal="center" vertical="center" wrapText="1"/>
    </xf>
    <xf numFmtId="0" fontId="54" fillId="23" borderId="4" xfId="0" applyFont="1" applyFill="1" applyBorder="1" applyAlignment="1">
      <alignment horizontal="center" vertical="center" wrapText="1"/>
    </xf>
    <xf numFmtId="0" fontId="53" fillId="23" borderId="4" xfId="0" applyFont="1" applyFill="1" applyBorder="1" applyAlignment="1">
      <alignment horizontal="center" vertical="center"/>
    </xf>
    <xf numFmtId="0" fontId="53" fillId="23" borderId="5" xfId="0" applyFont="1" applyFill="1" applyBorder="1" applyAlignment="1">
      <alignment horizontal="center" vertical="center"/>
    </xf>
    <xf numFmtId="177" fontId="54" fillId="10" borderId="8" xfId="0" applyNumberFormat="1" applyFont="1" applyFill="1" applyBorder="1" applyAlignment="1">
      <alignment horizontal="center" vertical="center"/>
    </xf>
    <xf numFmtId="0" fontId="1" fillId="0" borderId="10" xfId="0" applyFont="1" applyBorder="1" applyAlignment="1">
      <alignment horizontal="center"/>
    </xf>
    <xf numFmtId="0" fontId="1" fillId="0" borderId="9" xfId="0" applyFont="1" applyBorder="1" applyAlignment="1">
      <alignment horizontal="center"/>
    </xf>
    <xf numFmtId="0" fontId="0" fillId="0" borderId="0" xfId="0" applyBorder="1" applyAlignment="1">
      <alignment horizontal="center" wrapText="1"/>
    </xf>
    <xf numFmtId="0" fontId="9" fillId="0" borderId="4" xfId="0" applyFont="1" applyBorder="1" applyAlignment="1">
      <alignment horizontal="center" vertical="center"/>
    </xf>
    <xf numFmtId="0" fontId="20" fillId="0" borderId="4" xfId="0" applyFont="1" applyBorder="1" applyAlignment="1">
      <alignment horizontal="center" vertical="center"/>
    </xf>
  </cellXfs>
  <cellStyles count="4">
    <cellStyle name="百分比" xfId="3" builtinId="5"/>
    <cellStyle name="常规" xfId="0" builtinId="0"/>
    <cellStyle name="超链接" xfId="2" builtinId="8"/>
    <cellStyle name="千位分隔" xfId="1" builtinId="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66FFFF"/>
      <color rgb="FFFF0000"/>
      <color rgb="FFE1FFE1"/>
      <color rgb="FFCCFFCC"/>
      <color rgb="FF99FF99"/>
      <color rgb="FF0066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806"/>
          <c:y val="0.19076951738208742"/>
          <c:w val="0.35853169560324982"/>
          <c:h val="0.74461650333008644"/>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18.725961538461529</c:v>
                </c:pt>
              </c:numCache>
            </c:numRef>
          </c:val>
          <c:extLst>
            <c:ext xmlns:c16="http://schemas.microsoft.com/office/drawing/2014/chart" uri="{C3380CC4-5D6E-409C-BE32-E72D297353CC}">
              <c16:uniqueId val="{00000000-2633-43A5-86E0-1B0AF8B5FEE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209.65078219929072</c:v>
                </c:pt>
              </c:numCache>
            </c:numRef>
          </c:val>
          <c:extLst>
            <c:ext xmlns:c16="http://schemas.microsoft.com/office/drawing/2014/chart" uri="{C3380CC4-5D6E-409C-BE32-E72D297353CC}">
              <c16:uniqueId val="{00000001-2633-43A5-86E0-1B0AF8B5FEE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52.765422980745186</c:v>
                </c:pt>
              </c:numCache>
            </c:numRef>
          </c:val>
          <c:extLst>
            <c:ext xmlns:c16="http://schemas.microsoft.com/office/drawing/2014/chart" uri="{C3380CC4-5D6E-409C-BE32-E72D297353CC}">
              <c16:uniqueId val="{00000002-2633-43A5-86E0-1B0AF8B5FEED}"/>
            </c:ext>
          </c:extLst>
        </c:ser>
        <c:dLbls>
          <c:showLegendKey val="0"/>
          <c:showVal val="0"/>
          <c:showCatName val="0"/>
          <c:showSerName val="0"/>
          <c:showPercent val="0"/>
          <c:showBubbleSize val="0"/>
        </c:dLbls>
        <c:gapWidth val="150"/>
        <c:overlap val="100"/>
        <c:axId val="131230720"/>
        <c:axId val="131261952"/>
      </c:barChart>
      <c:catAx>
        <c:axId val="131230720"/>
        <c:scaling>
          <c:orientation val="minMax"/>
        </c:scaling>
        <c:delete val="1"/>
        <c:axPos val="b"/>
        <c:majorTickMark val="out"/>
        <c:minorTickMark val="none"/>
        <c:tickLblPos val="none"/>
        <c:crossAx val="131261952"/>
        <c:crosses val="autoZero"/>
        <c:auto val="1"/>
        <c:lblAlgn val="ctr"/>
        <c:lblOffset val="100"/>
        <c:noMultiLvlLbl val="0"/>
      </c:catAx>
      <c:valAx>
        <c:axId val="131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92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zh-CN"/>
          </a:p>
        </c:txPr>
        <c:crossAx val="131230720"/>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321"/>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zh-CN"/>
    </a:p>
  </c:txPr>
  <c:printSettings>
    <c:headerFooter alignWithMargins="0"/>
    <c:pageMargins b="1" l="0.75000000000000311" r="0.7500000000000031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4986323444964744"/>
          <c:y val="5.1607701084148104E-2"/>
        </c:manualLayout>
      </c:layout>
      <c:overlay val="0"/>
      <c:spPr>
        <a:noFill/>
        <a:ln w="25400">
          <a:noFill/>
        </a:ln>
      </c:spPr>
    </c:title>
    <c:autoTitleDeleted val="0"/>
    <c:plotArea>
      <c:layout>
        <c:manualLayout>
          <c:layoutTarget val="inner"/>
          <c:xMode val="edge"/>
          <c:yMode val="edge"/>
          <c:x val="7.1047613893624129E-2"/>
          <c:y val="3.0947258353269242E-2"/>
          <c:w val="0.86790266512166858"/>
          <c:h val="0.7426369014265527"/>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0-04E4-43D7-85CF-CC0A4DD40B5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1-04E4-43D7-85CF-CC0A4DD40B5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2-04E4-43D7-85CF-CC0A4DD40B5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3-04E4-43D7-85CF-CC0A4DD40B5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4-04E4-43D7-85CF-CC0A4DD40B5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5-04E4-43D7-85CF-CC0A4DD40B5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6-04E4-43D7-85CF-CC0A4DD40B5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7-04E4-43D7-85CF-CC0A4DD40B5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8-04E4-43D7-85CF-CC0A4DD40B5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9-04E4-43D7-85CF-CC0A4DD40B5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0A-04E4-43D7-85CF-CC0A4DD40B5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18.725961538461529</c:v>
                </c:pt>
                <c:pt idx="1">
                  <c:v>34.568642160540129</c:v>
                </c:pt>
                <c:pt idx="2">
                  <c:v>88.222055513878473</c:v>
                </c:pt>
                <c:pt idx="3">
                  <c:v>54.416046632443702</c:v>
                </c:pt>
                <c:pt idx="4">
                  <c:v>32.444037892428405</c:v>
                </c:pt>
                <c:pt idx="5">
                  <c:v>30.531132783195797</c:v>
                </c:pt>
                <c:pt idx="6">
                  <c:v>10.330082520630157</c:v>
                </c:pt>
                <c:pt idx="7">
                  <c:v>3.4973743435858968</c:v>
                </c:pt>
                <c:pt idx="8">
                  <c:v>2.1734999999999998</c:v>
                </c:pt>
                <c:pt idx="9">
                  <c:v>6.2333333333333343</c:v>
                </c:pt>
                <c:pt idx="10">
                  <c:v>0</c:v>
                </c:pt>
              </c:numCache>
            </c:numRef>
          </c:val>
          <c:extLst>
            <c:ext xmlns:c16="http://schemas.microsoft.com/office/drawing/2014/chart" uri="{C3380CC4-5D6E-409C-BE32-E72D297353CC}">
              <c16:uniqueId val="{0000000B-04E4-43D7-85CF-CC0A4DD40B55}"/>
            </c:ext>
          </c:extLst>
        </c:ser>
        <c:dLbls>
          <c:showLegendKey val="0"/>
          <c:showVal val="0"/>
          <c:showCatName val="0"/>
          <c:showSerName val="0"/>
          <c:showPercent val="0"/>
          <c:showBubbleSize val="0"/>
        </c:dLbls>
        <c:gapWidth val="150"/>
        <c:axId val="143347072"/>
        <c:axId val="240632960"/>
      </c:barChart>
      <c:catAx>
        <c:axId val="14334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zh-CN"/>
          </a:p>
        </c:txPr>
        <c:crossAx val="240632960"/>
        <c:crosses val="autoZero"/>
        <c:auto val="1"/>
        <c:lblAlgn val="ctr"/>
        <c:lblOffset val="100"/>
        <c:tickLblSkip val="1"/>
        <c:tickMarkSkip val="1"/>
        <c:noMultiLvlLbl val="0"/>
      </c:catAx>
      <c:valAx>
        <c:axId val="240632960"/>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33E-4"/>
              <c:y val="0.3463482269394716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zh-CN"/>
          </a:p>
        </c:txPr>
        <c:crossAx val="1433470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zh-CN"/>
    </a:p>
  </c:txPr>
  <c:printSettings>
    <c:headerFooter alignWithMargins="0"/>
    <c:pageMargins b="1" l="0.75000000000000333" r="0.75000000000000333" t="1" header="0.5" footer="0.5"/>
    <c:pageSetup orientation="landscape"/>
  </c:printSettings>
</c:chartSpace>
</file>

<file path=xl/ctrlProps/ctrlProp1.xml><?xml version="1.0" encoding="utf-8"?>
<formControlPr xmlns="http://schemas.microsoft.com/office/spreadsheetml/2009/9/main" objectType="Drop" dropLines="3" dropStyle="combo" dx="15" fmlaLink="$H$1" fmlaRange="$H$3:$H$5" noThreeD="1" sel="1" val="0"/>
</file>

<file path=xl/ctrlProps/ctrlProp2.xml><?xml version="1.0" encoding="utf-8"?>
<formControlPr xmlns="http://schemas.microsoft.com/office/spreadsheetml/2009/9/main" objectType="Drop" dropLines="3" dropStyle="combo" dx="15" fmlaLink="$N$1" fmlaRange="$M$3:$M$5" noThreeD="1" sel="3" val="0"/>
</file>

<file path=xl/ctrlProps/ctrlProp3.xml><?xml version="1.0" encoding="utf-8"?>
<formControlPr xmlns="http://schemas.microsoft.com/office/spreadsheetml/2009/9/main" objectType="Drop" dropLines="10" dropStyle="combo" dx="15" fmlaLink="$I$1" fmlaRange="$I$3:$I$12" noThreeD="1" sel="7" val="0"/>
</file>

<file path=xl/ctrlProps/ctrlProp4.xml><?xml version="1.0" encoding="utf-8"?>
<formControlPr xmlns="http://schemas.microsoft.com/office/spreadsheetml/2009/9/main" objectType="Drop" dropLines="2" dropStyle="combo" dx="15" fmlaLink="$K$1" fmlaRange="$J$3:$J$4" noThreeD="1" sel="1" val="0"/>
</file>

<file path=xl/ctrlProps/ctrlProp5.xml><?xml version="1.0" encoding="utf-8"?>
<formControlPr xmlns="http://schemas.microsoft.com/office/spreadsheetml/2009/9/main" objectType="Drop" dropLines="2" dropStyle="combo" dx="15" fmlaLink="$AQ$1" fmlaRange="$AQ$3:$AQ$4" noThreeD="1" sel="1" val="0"/>
</file>

<file path=xl/ctrlProps/ctrlProp6.xml><?xml version="1.0" encoding="utf-8"?>
<formControlPr xmlns="http://schemas.microsoft.com/office/spreadsheetml/2009/9/main" objectType="Drop" dropLines="7" dropStyle="combo" dx="15" fmlaLink="$AR$1" fmlaRange="$AR$3:$AR$10" noThreeD="1" sel="2"/>
</file>

<file path=xl/ctrlProps/ctrlProp7.xml><?xml version="1.0" encoding="utf-8"?>
<formControlPr xmlns="http://schemas.microsoft.com/office/spreadsheetml/2009/9/main" objectType="Drop" dropLines="7" dropStyle="combo" dx="15" fmlaLink="$AT$1" fmlaRange="$AT$3:$AT$10" noThreeD="1" sel="3"/>
</file>

<file path=xl/ctrlProps/ctrlProp8.xml><?xml version="1.0" encoding="utf-8"?>
<formControlPr xmlns="http://schemas.microsoft.com/office/spreadsheetml/2009/9/main" objectType="Drop" dropLines="3" dropStyle="combo" dx="15" fmlaLink="$AS$1" fmlaRange="$AS$3:$AS$5"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20</xdr:row>
      <xdr:rowOff>0</xdr:rowOff>
    </xdr:to>
    <xdr:sp macro="" textlink="">
      <xdr:nvSpPr>
        <xdr:cNvPr id="3075" name="Rectangle 3"/>
        <xdr:cNvSpPr>
          <a:spLocks noChangeArrowheads="1"/>
        </xdr:cNvSpPr>
      </xdr:nvSpPr>
      <xdr:spPr bwMode="auto">
        <a:xfrm>
          <a:off x="590550" y="171450"/>
          <a:ext cx="5219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57150</xdr:colOff>
      <xdr:row>1</xdr:row>
      <xdr:rowOff>47625</xdr:rowOff>
    </xdr:from>
    <xdr:to>
      <xdr:col>2</xdr:col>
      <xdr:colOff>714375</xdr:colOff>
      <xdr:row>3</xdr:row>
      <xdr:rowOff>180975</xdr:rowOff>
    </xdr:to>
    <xdr:pic>
      <xdr:nvPicPr>
        <xdr:cNvPr id="736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7150" y="95250"/>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5</xdr:row>
      <xdr:rowOff>161925</xdr:rowOff>
    </xdr:from>
    <xdr:to>
      <xdr:col>5</xdr:col>
      <xdr:colOff>228600</xdr:colOff>
      <xdr:row>9</xdr:row>
      <xdr:rowOff>219075</xdr:rowOff>
    </xdr:to>
    <xdr:sp macro="" textlink="">
      <xdr:nvSpPr>
        <xdr:cNvPr id="5107" name="AutoShape 9"/>
        <xdr:cNvSpPr>
          <a:spLocks/>
        </xdr:cNvSpPr>
      </xdr:nvSpPr>
      <xdr:spPr bwMode="auto">
        <a:xfrm>
          <a:off x="5857875" y="1104900"/>
          <a:ext cx="171450" cy="1066800"/>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5</xdr:col>
      <xdr:colOff>295275</xdr:colOff>
      <xdr:row>4</xdr:row>
      <xdr:rowOff>266700</xdr:rowOff>
    </xdr:from>
    <xdr:to>
      <xdr:col>5</xdr:col>
      <xdr:colOff>2714625</xdr:colOff>
      <xdr:row>9</xdr:row>
      <xdr:rowOff>228600</xdr:rowOff>
    </xdr:to>
    <xdr:sp macro="" textlink="">
      <xdr:nvSpPr>
        <xdr:cNvPr id="4106" name="Text Box 10"/>
        <xdr:cNvSpPr txBox="1">
          <a:spLocks noChangeArrowheads="1"/>
        </xdr:cNvSpPr>
      </xdr:nvSpPr>
      <xdr:spPr bwMode="auto">
        <a:xfrm>
          <a:off x="6096000" y="914400"/>
          <a:ext cx="2419350" cy="1266825"/>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5</xdr:col>
      <xdr:colOff>57150</xdr:colOff>
      <xdr:row>13</xdr:row>
      <xdr:rowOff>9525</xdr:rowOff>
    </xdr:from>
    <xdr:to>
      <xdr:col>5</xdr:col>
      <xdr:colOff>247650</xdr:colOff>
      <xdr:row>42</xdr:row>
      <xdr:rowOff>190500</xdr:rowOff>
    </xdr:to>
    <xdr:sp macro="" textlink="">
      <xdr:nvSpPr>
        <xdr:cNvPr id="5109" name="AutoShape 11"/>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5</xdr:col>
      <xdr:colOff>304800</xdr:colOff>
      <xdr:row>25</xdr:row>
      <xdr:rowOff>66675</xdr:rowOff>
    </xdr:from>
    <xdr:to>
      <xdr:col>15</xdr:col>
      <xdr:colOff>171450</xdr:colOff>
      <xdr:row>32</xdr:row>
      <xdr:rowOff>28575</xdr:rowOff>
    </xdr:to>
    <xdr:sp macro="" textlink="">
      <xdr:nvSpPr>
        <xdr:cNvPr id="4109" name="Text Box 13"/>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"DDR4 Spec" tab. Please confirm the numbers in that worksheet are updated prior to use.</a:t>
          </a:r>
        </a:p>
      </xdr:txBody>
    </xdr:sp>
    <xdr:clientData/>
  </xdr:twoCellAnchor>
  <xdr:twoCellAnchor editAs="oneCell">
    <xdr:from>
      <xdr:col>1</xdr:col>
      <xdr:colOff>133350</xdr:colOff>
      <xdr:row>1</xdr:row>
      <xdr:rowOff>28575</xdr:rowOff>
    </xdr:from>
    <xdr:to>
      <xdr:col>2</xdr:col>
      <xdr:colOff>1076325</xdr:colOff>
      <xdr:row>3</xdr:row>
      <xdr:rowOff>95250</xdr:rowOff>
    </xdr:to>
    <xdr:pic>
      <xdr:nvPicPr>
        <xdr:cNvPr id="5111"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133350" y="857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3943350</xdr:colOff>
          <xdr:row>6</xdr:row>
          <xdr:rowOff>0</xdr:rowOff>
        </xdr:from>
        <xdr:to>
          <xdr:col>5</xdr:col>
          <xdr:colOff>0</xdr:colOff>
          <xdr:row>7</xdr:row>
          <xdr:rowOff>0</xdr:rowOff>
        </xdr:to>
        <xdr:sp macro="" textlink="">
          <xdr:nvSpPr>
            <xdr:cNvPr id="4102" name="Drop Down 6" hidden="1">
              <a:extLst>
                <a:ext uri="{63B3BB69-23CF-44E3-9099-C40C66FF867C}">
                  <a14:compatExt spid="_x0000_s4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7</xdr:row>
          <xdr:rowOff>0</xdr:rowOff>
        </xdr:from>
        <xdr:to>
          <xdr:col>5</xdr:col>
          <xdr:colOff>0</xdr:colOff>
          <xdr:row>8</xdr:row>
          <xdr:rowOff>0</xdr:rowOff>
        </xdr:to>
        <xdr:sp macro="" textlink="">
          <xdr:nvSpPr>
            <xdr:cNvPr id="4993" name="Drop Down 897" hidden="1">
              <a:extLst>
                <a:ext uri="{63B3BB69-23CF-44E3-9099-C40C66FF867C}">
                  <a14:compatExt spid="_x0000_s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8</xdr:row>
          <xdr:rowOff>0</xdr:rowOff>
        </xdr:from>
        <xdr:to>
          <xdr:col>5</xdr:col>
          <xdr:colOff>0</xdr:colOff>
          <xdr:row>9</xdr:row>
          <xdr:rowOff>0</xdr:rowOff>
        </xdr:to>
        <xdr:sp macro="" textlink="">
          <xdr:nvSpPr>
            <xdr:cNvPr id="4994" name="Drop Down 898" hidden="1">
              <a:extLst>
                <a:ext uri="{63B3BB69-23CF-44E3-9099-C40C66FF867C}">
                  <a14:compatExt spid="_x0000_s49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9</xdr:row>
          <xdr:rowOff>0</xdr:rowOff>
        </xdr:from>
        <xdr:to>
          <xdr:col>5</xdr:col>
          <xdr:colOff>0</xdr:colOff>
          <xdr:row>9</xdr:row>
          <xdr:rowOff>228600</xdr:rowOff>
        </xdr:to>
        <xdr:sp macro="" textlink="">
          <xdr:nvSpPr>
            <xdr:cNvPr id="4996" name="Drop Down 900" hidden="1">
              <a:extLst>
                <a:ext uri="{63B3BB69-23CF-44E3-9099-C40C66FF867C}">
                  <a14:compatExt spid="_x0000_s4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7</xdr:col>
      <xdr:colOff>114300</xdr:colOff>
      <xdr:row>0</xdr:row>
      <xdr:rowOff>0</xdr:rowOff>
    </xdr:from>
    <xdr:to>
      <xdr:col>10</xdr:col>
      <xdr:colOff>371475</xdr:colOff>
      <xdr:row>2</xdr:row>
      <xdr:rowOff>133350</xdr:rowOff>
    </xdr:to>
    <xdr:pic>
      <xdr:nvPicPr>
        <xdr:cNvPr id="5480"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xdr:col>
      <xdr:colOff>152400</xdr:colOff>
      <xdr:row>1</xdr:row>
      <xdr:rowOff>66675</xdr:rowOff>
    </xdr:from>
    <xdr:to>
      <xdr:col>2</xdr:col>
      <xdr:colOff>800100</xdr:colOff>
      <xdr:row>3</xdr:row>
      <xdr:rowOff>180975</xdr:rowOff>
    </xdr:to>
    <xdr:pic>
      <xdr:nvPicPr>
        <xdr:cNvPr id="8" name="Picture 392"/>
        <xdr:cNvPicPr>
          <a:picLocks noChangeAspect="1" noChangeArrowheads="1"/>
        </xdr:cNvPicPr>
      </xdr:nvPicPr>
      <xdr:blipFill>
        <a:blip xmlns:r="http://schemas.openxmlformats.org/officeDocument/2006/relationships" r:embed="rId2" cstate="print"/>
        <a:srcRect/>
        <a:stretch>
          <a:fillRect/>
        </a:stretch>
      </xdr:blipFill>
      <xdr:spPr bwMode="auto">
        <a:xfrm>
          <a:off x="152400" y="228600"/>
          <a:ext cx="1676400" cy="447675"/>
        </a:xfrm>
        <a:prstGeom prst="rect">
          <a:avLst/>
        </a:prstGeom>
        <a:noFill/>
        <a:ln w="1">
          <a:noFill/>
          <a:miter lim="800000"/>
          <a:headEnd/>
          <a:tailEnd/>
        </a:ln>
      </xdr:spPr>
    </xdr:pic>
    <xdr:clientData/>
  </xdr:twoCellAnchor>
  <xdr:twoCellAnchor editAs="oneCell">
    <xdr:from>
      <xdr:col>7</xdr:col>
      <xdr:colOff>114300</xdr:colOff>
      <xdr:row>0</xdr:row>
      <xdr:rowOff>0</xdr:rowOff>
    </xdr:from>
    <xdr:to>
      <xdr:col>10</xdr:col>
      <xdr:colOff>371475</xdr:colOff>
      <xdr:row>2</xdr:row>
      <xdr:rowOff>133350</xdr:rowOff>
    </xdr:to>
    <xdr:pic>
      <xdr:nvPicPr>
        <xdr:cNvPr id="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twoCellAnchor editAs="oneCell">
    <xdr:from>
      <xdr:col>15</xdr:col>
      <xdr:colOff>247648</xdr:colOff>
      <xdr:row>4</xdr:row>
      <xdr:rowOff>147770</xdr:rowOff>
    </xdr:from>
    <xdr:to>
      <xdr:col>22</xdr:col>
      <xdr:colOff>57685</xdr:colOff>
      <xdr:row>11</xdr:row>
      <xdr:rowOff>276231</xdr:rowOff>
    </xdr:to>
    <xdr:pic>
      <xdr:nvPicPr>
        <xdr:cNvPr id="614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13344523" y="919295"/>
          <a:ext cx="4115337" cy="1547686"/>
        </a:xfrm>
        <a:prstGeom prst="rect">
          <a:avLst/>
        </a:prstGeom>
        <a:noFill/>
        <a:ln w="1">
          <a:noFill/>
          <a:miter lim="800000"/>
          <a:headEnd/>
          <a:tailEnd type="none" w="med" len="med"/>
        </a:ln>
        <a:effectLst/>
      </xdr:spPr>
    </xdr:pic>
    <xdr:clientData/>
  </xdr:twoCellAnchor>
  <xdr:twoCellAnchor editAs="oneCell">
    <xdr:from>
      <xdr:col>7</xdr:col>
      <xdr:colOff>228599</xdr:colOff>
      <xdr:row>4</xdr:row>
      <xdr:rowOff>192663</xdr:rowOff>
    </xdr:from>
    <xdr:to>
      <xdr:col>14</xdr:col>
      <xdr:colOff>123825</xdr:colOff>
      <xdr:row>11</xdr:row>
      <xdr:rowOff>300114</xdr:rowOff>
    </xdr:to>
    <xdr:pic>
      <xdr:nvPicPr>
        <xdr:cNvPr id="6146" name="Picture 2"/>
        <xdr:cNvPicPr>
          <a:picLocks noChangeAspect="1" noChangeArrowheads="1"/>
        </xdr:cNvPicPr>
      </xdr:nvPicPr>
      <xdr:blipFill>
        <a:blip xmlns:r="http://schemas.openxmlformats.org/officeDocument/2006/relationships" r:embed="rId4" cstate="print"/>
        <a:srcRect/>
        <a:stretch>
          <a:fillRect/>
        </a:stretch>
      </xdr:blipFill>
      <xdr:spPr bwMode="auto">
        <a:xfrm>
          <a:off x="8762999" y="964188"/>
          <a:ext cx="3962401" cy="1526676"/>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12</xdr:col>
          <xdr:colOff>0</xdr:colOff>
          <xdr:row>13</xdr:row>
          <xdr:rowOff>371475</xdr:rowOff>
        </xdr:to>
        <xdr:sp macro="" textlink="">
          <xdr:nvSpPr>
            <xdr:cNvPr id="5130" name="Drop Down 10"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13</xdr:col>
          <xdr:colOff>666750</xdr:colOff>
          <xdr:row>13</xdr:row>
          <xdr:rowOff>371475</xdr:rowOff>
        </xdr:to>
        <xdr:sp macro="" textlink="">
          <xdr:nvSpPr>
            <xdr:cNvPr id="5131" name="Drop Down 11" hidden="1">
              <a:extLst>
                <a:ext uri="{63B3BB69-23CF-44E3-9099-C40C66FF867C}">
                  <a14:compatExt spid="_x0000_s51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xdr:row>
          <xdr:rowOff>0</xdr:rowOff>
        </xdr:from>
        <xdr:to>
          <xdr:col>21</xdr:col>
          <xdr:colOff>666750</xdr:colOff>
          <xdr:row>13</xdr:row>
          <xdr:rowOff>371475</xdr:rowOff>
        </xdr:to>
        <xdr:sp macro="" textlink="">
          <xdr:nvSpPr>
            <xdr:cNvPr id="5132" name="Drop Down 12" hidden="1">
              <a:extLst>
                <a:ext uri="{63B3BB69-23CF-44E3-9099-C40C66FF867C}">
                  <a14:compatExt spid="_x0000_s51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0</xdr:colOff>
          <xdr:row>13</xdr:row>
          <xdr:rowOff>371475</xdr:rowOff>
        </xdr:to>
        <xdr:sp macro="" textlink="">
          <xdr:nvSpPr>
            <xdr:cNvPr id="5133" name="Drop Down 13" hidden="1">
              <a:extLst>
                <a:ext uri="{63B3BB69-23CF-44E3-9099-C40C66FF867C}">
                  <a14:compatExt spid="_x0000_s5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14</xdr:col>
      <xdr:colOff>133350</xdr:colOff>
      <xdr:row>0</xdr:row>
      <xdr:rowOff>28575</xdr:rowOff>
    </xdr:from>
    <xdr:to>
      <xdr:col>16</xdr:col>
      <xdr:colOff>342900</xdr:colOff>
      <xdr:row>3</xdr:row>
      <xdr:rowOff>95250</xdr:rowOff>
    </xdr:to>
    <xdr:pic>
      <xdr:nvPicPr>
        <xdr:cNvPr id="122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152400</xdr:colOff>
      <xdr:row>7</xdr:row>
      <xdr:rowOff>76200</xdr:rowOff>
    </xdr:from>
    <xdr:to>
      <xdr:col>12</xdr:col>
      <xdr:colOff>428625</xdr:colOff>
      <xdr:row>25</xdr:row>
      <xdr:rowOff>28575</xdr:rowOff>
    </xdr:to>
    <xdr:graphicFrame macro="">
      <xdr:nvGraphicFramePr>
        <xdr:cNvPr id="265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24</xdr:row>
      <xdr:rowOff>161925</xdr:rowOff>
    </xdr:from>
    <xdr:to>
      <xdr:col>12</xdr:col>
      <xdr:colOff>476250</xdr:colOff>
      <xdr:row>63</xdr:row>
      <xdr:rowOff>28575</xdr:rowOff>
    </xdr:to>
    <xdr:graphicFrame macro="">
      <xdr:nvGraphicFramePr>
        <xdr:cNvPr id="265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209550</xdr:colOff>
      <xdr:row>0</xdr:row>
      <xdr:rowOff>85725</xdr:rowOff>
    </xdr:from>
    <xdr:to>
      <xdr:col>8</xdr:col>
      <xdr:colOff>114300</xdr:colOff>
      <xdr:row>3</xdr:row>
      <xdr:rowOff>57150</xdr:rowOff>
    </xdr:to>
    <xdr:pic>
      <xdr:nvPicPr>
        <xdr:cNvPr id="2653" name="Picture 392"/>
        <xdr:cNvPicPr>
          <a:picLocks noChangeAspect="1" noChangeArrowheads="1"/>
        </xdr:cNvPicPr>
      </xdr:nvPicPr>
      <xdr:blipFill>
        <a:blip xmlns:r="http://schemas.openxmlformats.org/officeDocument/2006/relationships" r:embed="rId3" cstate="print"/>
        <a:srcRect/>
        <a:stretch>
          <a:fillRect/>
        </a:stretch>
      </xdr:blipFill>
      <xdr:spPr bwMode="auto">
        <a:xfrm>
          <a:off x="4048125" y="85725"/>
          <a:ext cx="1676400" cy="457200"/>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23"/>
  <sheetViews>
    <sheetView showGridLines="0" workbookViewId="0">
      <selection activeCell="D15" sqref="D15"/>
    </sheetView>
  </sheetViews>
  <sheetFormatPr defaultColWidth="8.85546875" defaultRowHeight="12.75"/>
  <cols>
    <col min="1" max="1" width="3.140625" customWidth="1"/>
    <col min="2" max="2" width="15.140625" customWidth="1"/>
    <col min="3" max="3" width="3.7109375" customWidth="1"/>
    <col min="4" max="4" width="59.42578125" customWidth="1"/>
    <col min="16" max="17" width="8.85546875" customWidth="1"/>
  </cols>
  <sheetData>
    <row r="1" spans="1:4" ht="13.5" thickBot="1">
      <c r="A1" s="28"/>
    </row>
    <row r="2" spans="1:4">
      <c r="B2" s="9" t="s">
        <v>32</v>
      </c>
      <c r="C2" s="10" t="s">
        <v>41</v>
      </c>
      <c r="D2" s="11" t="s">
        <v>251</v>
      </c>
    </row>
    <row r="3" spans="1:4">
      <c r="B3" s="12" t="s">
        <v>33</v>
      </c>
      <c r="C3" s="13" t="s">
        <v>41</v>
      </c>
      <c r="D3" s="292">
        <v>2.5</v>
      </c>
    </row>
    <row r="4" spans="1:4">
      <c r="B4" s="12" t="s">
        <v>34</v>
      </c>
      <c r="C4" s="13" t="s">
        <v>41</v>
      </c>
      <c r="D4" s="14">
        <v>42462</v>
      </c>
    </row>
    <row r="5" spans="1:4">
      <c r="B5" s="12" t="s">
        <v>361</v>
      </c>
      <c r="C5" s="13" t="s">
        <v>41</v>
      </c>
      <c r="D5" s="15" t="s">
        <v>362</v>
      </c>
    </row>
    <row r="6" spans="1:4">
      <c r="B6" s="12" t="s">
        <v>36</v>
      </c>
      <c r="C6" s="13" t="s">
        <v>41</v>
      </c>
      <c r="D6" s="125" t="s">
        <v>174</v>
      </c>
    </row>
    <row r="7" spans="1:4">
      <c r="B7" s="12" t="s">
        <v>35</v>
      </c>
      <c r="C7" s="13" t="s">
        <v>41</v>
      </c>
      <c r="D7" s="15" t="s">
        <v>40</v>
      </c>
    </row>
    <row r="8" spans="1:4">
      <c r="B8" s="12"/>
      <c r="C8" s="13"/>
      <c r="D8" s="15"/>
    </row>
    <row r="9" spans="1:4" ht="25.5">
      <c r="B9" s="12" t="s">
        <v>37</v>
      </c>
      <c r="C9" s="13" t="s">
        <v>41</v>
      </c>
      <c r="D9" s="15" t="s">
        <v>265</v>
      </c>
    </row>
    <row r="10" spans="1:4">
      <c r="B10" s="12"/>
      <c r="C10" s="13"/>
      <c r="D10" s="15"/>
    </row>
    <row r="11" spans="1:4">
      <c r="B11" s="12" t="s">
        <v>52</v>
      </c>
      <c r="C11" s="13" t="s">
        <v>41</v>
      </c>
      <c r="D11" s="265"/>
    </row>
    <row r="12" spans="1:4">
      <c r="B12" s="12"/>
      <c r="C12" s="13"/>
      <c r="D12" s="15"/>
    </row>
    <row r="13" spans="1:4">
      <c r="B13" s="12" t="s">
        <v>38</v>
      </c>
      <c r="C13" s="13" t="s">
        <v>41</v>
      </c>
      <c r="D13" s="15" t="s">
        <v>360</v>
      </c>
    </row>
    <row r="14" spans="1:4">
      <c r="B14" s="12"/>
      <c r="C14" s="13"/>
      <c r="D14" s="15"/>
    </row>
    <row r="15" spans="1:4" ht="140.25">
      <c r="B15" s="12" t="s">
        <v>39</v>
      </c>
      <c r="C15" s="13" t="s">
        <v>41</v>
      </c>
      <c r="D15" s="15" t="s">
        <v>23</v>
      </c>
    </row>
    <row r="16" spans="1:4" ht="25.5">
      <c r="B16" s="12"/>
      <c r="C16" s="13"/>
      <c r="D16" s="15" t="s">
        <v>24</v>
      </c>
    </row>
    <row r="17" spans="1:4">
      <c r="B17" s="12"/>
      <c r="C17" s="13"/>
      <c r="D17" s="15"/>
    </row>
    <row r="18" spans="1:4">
      <c r="B18" s="12"/>
      <c r="C18" s="13"/>
      <c r="D18" s="15" t="s">
        <v>363</v>
      </c>
    </row>
    <row r="19" spans="1:4">
      <c r="B19" s="12"/>
      <c r="C19" s="13"/>
      <c r="D19" s="15" t="s">
        <v>252</v>
      </c>
    </row>
    <row r="20" spans="1:4" ht="13.5" thickBot="1">
      <c r="B20" s="16"/>
      <c r="C20" s="21"/>
      <c r="D20" s="17" t="s">
        <v>125</v>
      </c>
    </row>
    <row r="23" spans="1:4">
      <c r="A23" s="28"/>
    </row>
  </sheetData>
  <phoneticPr fontId="0" type="noConversion"/>
  <hyperlinks>
    <hyperlink ref="D6" r:id="rId1"/>
  </hyperlinks>
  <printOptions horizontalCentered="1" verticalCentered="1"/>
  <pageMargins left="0.25" right="0.25" top="0.25" bottom="0.25" header="0.5" footer="0.5"/>
  <pageSetup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61"/>
  <sheetViews>
    <sheetView workbookViewId="0">
      <selection activeCell="C6" sqref="C6:C10"/>
    </sheetView>
  </sheetViews>
  <sheetFormatPr defaultRowHeight="12.75"/>
  <cols>
    <col min="1" max="1" width="3.28515625" style="22" customWidth="1"/>
    <col min="2" max="2" width="5.42578125" style="22" customWidth="1"/>
    <col min="3" max="3" width="117" style="22" customWidth="1"/>
    <col min="4" max="4" width="4.42578125" style="22" customWidth="1"/>
    <col min="5" max="16384" width="9.140625" style="22"/>
  </cols>
  <sheetData>
    <row r="1" spans="1:3">
      <c r="A1" s="28"/>
      <c r="C1" s="28"/>
    </row>
    <row r="4" spans="1:3" ht="21.95" customHeight="1">
      <c r="A4" s="56" t="s">
        <v>126</v>
      </c>
      <c r="B4" s="41"/>
      <c r="C4" s="42"/>
    </row>
    <row r="5" spans="1:3" ht="15.75">
      <c r="B5" s="24" t="s">
        <v>253</v>
      </c>
    </row>
    <row r="6" spans="1:3" ht="15.75">
      <c r="B6" s="24"/>
      <c r="C6" s="22" t="s">
        <v>93</v>
      </c>
    </row>
    <row r="7" spans="1:3" s="25" customFormat="1">
      <c r="C7" s="23" t="s">
        <v>281</v>
      </c>
    </row>
    <row r="8" spans="1:3" s="25" customFormat="1">
      <c r="C8" s="23" t="s">
        <v>282</v>
      </c>
    </row>
    <row r="9" spans="1:3" s="25" customFormat="1" ht="25.5">
      <c r="C9" s="23" t="s">
        <v>283</v>
      </c>
    </row>
    <row r="10" spans="1:3" s="25" customFormat="1" ht="25.5">
      <c r="C10" s="23" t="s">
        <v>284</v>
      </c>
    </row>
    <row r="11" spans="1:3" s="25" customFormat="1">
      <c r="C11" s="23"/>
    </row>
    <row r="12" spans="1:3" s="25" customFormat="1" ht="15.75">
      <c r="B12" s="24" t="s">
        <v>285</v>
      </c>
    </row>
    <row r="13" spans="1:3" s="25" customFormat="1" ht="15.75" customHeight="1">
      <c r="C13" s="23" t="s">
        <v>194</v>
      </c>
    </row>
    <row r="14" spans="1:3" s="25" customFormat="1" ht="15.75" customHeight="1">
      <c r="C14" s="23" t="s">
        <v>286</v>
      </c>
    </row>
    <row r="15" spans="1:3" s="25" customFormat="1" ht="15.75" customHeight="1">
      <c r="C15" s="23" t="s">
        <v>287</v>
      </c>
    </row>
    <row r="16" spans="1:3" s="25" customFormat="1" ht="15.75" customHeight="1">
      <c r="C16" s="23" t="s">
        <v>288</v>
      </c>
    </row>
    <row r="17" spans="2:6" s="25" customFormat="1" ht="15.75" customHeight="1">
      <c r="C17" s="23" t="s">
        <v>329</v>
      </c>
    </row>
    <row r="18" spans="2:6">
      <c r="C18" s="23"/>
    </row>
    <row r="19" spans="2:6" ht="15.75">
      <c r="B19" s="24" t="s">
        <v>330</v>
      </c>
      <c r="C19" s="23"/>
    </row>
    <row r="20" spans="2:6" s="25" customFormat="1">
      <c r="C20" s="23" t="s">
        <v>193</v>
      </c>
    </row>
    <row r="21" spans="2:6" s="25" customFormat="1">
      <c r="C21" s="23" t="s">
        <v>289</v>
      </c>
    </row>
    <row r="22" spans="2:6" s="25" customFormat="1">
      <c r="C22" s="23" t="s">
        <v>290</v>
      </c>
    </row>
    <row r="23" spans="2:6" s="25" customFormat="1" ht="18" customHeight="1">
      <c r="C23" s="23" t="s">
        <v>291</v>
      </c>
    </row>
    <row r="24" spans="2:6" s="25" customFormat="1" ht="18" customHeight="1">
      <c r="C24" s="23" t="s">
        <v>296</v>
      </c>
      <c r="F24" s="25" t="s">
        <v>196</v>
      </c>
    </row>
    <row r="25" spans="2:6" s="25" customFormat="1" ht="18" customHeight="1">
      <c r="C25" s="23" t="s">
        <v>297</v>
      </c>
    </row>
    <row r="26" spans="2:6" s="25" customFormat="1" ht="18" customHeight="1">
      <c r="C26" s="23" t="s">
        <v>300</v>
      </c>
    </row>
    <row r="27" spans="2:6" s="25" customFormat="1" ht="18" customHeight="1">
      <c r="C27" s="23" t="s">
        <v>301</v>
      </c>
    </row>
    <row r="28" spans="2:6" s="25" customFormat="1" ht="29.25" customHeight="1">
      <c r="C28" s="157" t="s">
        <v>302</v>
      </c>
    </row>
    <row r="29" spans="2:6" s="25" customFormat="1" ht="16.5" customHeight="1">
      <c r="C29" s="23" t="s">
        <v>292</v>
      </c>
    </row>
    <row r="30" spans="2:6" s="25" customFormat="1" ht="30.75" customHeight="1">
      <c r="C30" s="23" t="s">
        <v>303</v>
      </c>
    </row>
    <row r="31" spans="2:6" s="25" customFormat="1" ht="30.75" customHeight="1">
      <c r="C31" s="23" t="s">
        <v>293</v>
      </c>
    </row>
    <row r="32" spans="2:6" s="25" customFormat="1" ht="30.75" customHeight="1">
      <c r="C32" s="23" t="s">
        <v>304</v>
      </c>
    </row>
    <row r="33" spans="2:3" s="25" customFormat="1" ht="18" customHeight="1">
      <c r="C33" s="23" t="s">
        <v>307</v>
      </c>
    </row>
    <row r="34" spans="2:3" s="25" customFormat="1" ht="30.75" customHeight="1">
      <c r="C34" s="23" t="s">
        <v>305</v>
      </c>
    </row>
    <row r="35" spans="2:3" s="25" customFormat="1" ht="30.75" customHeight="1">
      <c r="C35" s="23" t="s">
        <v>306</v>
      </c>
    </row>
    <row r="36" spans="2:3" s="25" customFormat="1" ht="30.75" customHeight="1">
      <c r="C36" s="23" t="s">
        <v>308</v>
      </c>
    </row>
    <row r="37" spans="2:3" s="25" customFormat="1" ht="30.75" customHeight="1">
      <c r="C37" s="23" t="s">
        <v>309</v>
      </c>
    </row>
    <row r="38" spans="2:3">
      <c r="C38" s="23" t="s">
        <v>331</v>
      </c>
    </row>
    <row r="39" spans="2:3" ht="15.75">
      <c r="B39" s="24" t="s">
        <v>5</v>
      </c>
      <c r="C39" s="23"/>
    </row>
    <row r="40" spans="2:3" ht="38.25">
      <c r="C40" s="23" t="s">
        <v>127</v>
      </c>
    </row>
    <row r="41" spans="2:3">
      <c r="C41" s="23"/>
    </row>
    <row r="42" spans="2:3" ht="15.75">
      <c r="B42" s="24" t="s">
        <v>6</v>
      </c>
      <c r="C42" s="23"/>
    </row>
    <row r="43" spans="2:3" ht="51">
      <c r="C43" s="23" t="s">
        <v>195</v>
      </c>
    </row>
    <row r="44" spans="2:3">
      <c r="C44" s="23"/>
    </row>
    <row r="45" spans="2:3">
      <c r="C45" s="23"/>
    </row>
    <row r="46" spans="2:3">
      <c r="C46" s="23"/>
    </row>
    <row r="47" spans="2:3">
      <c r="C47" s="23"/>
    </row>
    <row r="48" spans="2:3">
      <c r="C48" s="23"/>
    </row>
    <row r="49" spans="3:3">
      <c r="C49" s="23"/>
    </row>
    <row r="50" spans="3:3">
      <c r="C50" s="23"/>
    </row>
    <row r="51" spans="3:3">
      <c r="C51" s="23"/>
    </row>
    <row r="52" spans="3:3">
      <c r="C52" s="23"/>
    </row>
    <row r="53" spans="3:3">
      <c r="C53" s="23"/>
    </row>
    <row r="54" spans="3:3">
      <c r="C54" s="23"/>
    </row>
    <row r="55" spans="3:3">
      <c r="C55" s="23"/>
    </row>
    <row r="56" spans="3:3">
      <c r="C56" s="23"/>
    </row>
    <row r="57" spans="3:3">
      <c r="C57" s="23"/>
    </row>
    <row r="58" spans="3:3">
      <c r="C58" s="23"/>
    </row>
    <row r="59" spans="3:3">
      <c r="C59" s="23"/>
    </row>
    <row r="60" spans="3:3">
      <c r="C60" s="23"/>
    </row>
    <row r="61" spans="3:3">
      <c r="C61" s="23"/>
    </row>
  </sheetData>
  <phoneticPr fontId="0" type="noConversion"/>
  <printOptions horizontalCentered="1"/>
  <pageMargins left="0.5" right="0.5" top="1" bottom="0.25" header="0.5" footer="0.5"/>
  <pageSetup scale="7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AM227"/>
  <sheetViews>
    <sheetView showGridLines="0" topLeftCell="A4" workbookViewId="0">
      <selection activeCell="V6" sqref="V6:V10"/>
    </sheetView>
  </sheetViews>
  <sheetFormatPr defaultColWidth="8.85546875" defaultRowHeight="12.75"/>
  <cols>
    <col min="1" max="1" width="1.28515625" customWidth="1"/>
    <col min="2" max="2" width="15.28515625" customWidth="1"/>
    <col min="3" max="3" width="43.7109375" style="33" customWidth="1"/>
    <col min="4" max="4" width="13.42578125" style="4" customWidth="1"/>
    <col min="5" max="5" width="9.140625" style="4" customWidth="1"/>
    <col min="6" max="14" width="9.140625" style="34" customWidth="1"/>
    <col min="15" max="15" width="7.5703125" style="34" customWidth="1"/>
    <col min="16" max="25" width="9.140625" style="34" customWidth="1"/>
    <col min="26" max="26" width="1.28515625" style="34" customWidth="1"/>
    <col min="27" max="36" width="9.140625" style="34" customWidth="1"/>
    <col min="37" max="37" width="1.5703125" style="34" customWidth="1"/>
    <col min="38" max="38" width="6.7109375" customWidth="1"/>
  </cols>
  <sheetData>
    <row r="1" spans="2:39" ht="3.75" customHeight="1">
      <c r="B1" s="28"/>
      <c r="C1"/>
      <c r="D1"/>
      <c r="E1"/>
      <c r="M1"/>
      <c r="N1"/>
    </row>
    <row r="2" spans="2:39">
      <c r="C2"/>
      <c r="D2" s="299" t="s">
        <v>359</v>
      </c>
      <c r="E2" s="300" t="s">
        <v>351</v>
      </c>
      <c r="F2" s="300" t="s">
        <v>352</v>
      </c>
      <c r="G2" s="300" t="s">
        <v>353</v>
      </c>
      <c r="H2" s="300" t="s">
        <v>355</v>
      </c>
      <c r="I2" s="300" t="s">
        <v>354</v>
      </c>
      <c r="J2" s="300" t="s">
        <v>357</v>
      </c>
      <c r="K2" s="300" t="s">
        <v>356</v>
      </c>
      <c r="L2" s="300" t="s">
        <v>196</v>
      </c>
      <c r="M2" s="300" t="s">
        <v>196</v>
      </c>
      <c r="N2" s="300" t="s">
        <v>358</v>
      </c>
    </row>
    <row r="3" spans="2:39">
      <c r="C3"/>
      <c r="D3" s="299" t="s">
        <v>350</v>
      </c>
      <c r="E3" s="34">
        <v>13</v>
      </c>
      <c r="F3" s="34">
        <v>16</v>
      </c>
      <c r="G3" s="34">
        <v>15</v>
      </c>
      <c r="H3" s="34">
        <v>17</v>
      </c>
      <c r="I3" s="34">
        <v>16</v>
      </c>
      <c r="J3" s="34">
        <v>19</v>
      </c>
      <c r="K3" s="34">
        <v>18</v>
      </c>
      <c r="L3" s="300" t="s">
        <v>196</v>
      </c>
      <c r="M3" s="300" t="s">
        <v>196</v>
      </c>
      <c r="N3" s="34">
        <v>22</v>
      </c>
    </row>
    <row r="4" spans="2:39" ht="17.100000000000001" customHeight="1">
      <c r="B4" s="48"/>
      <c r="C4" s="49"/>
      <c r="D4" s="48"/>
      <c r="E4" s="345" t="s">
        <v>175</v>
      </c>
      <c r="F4" s="345"/>
      <c r="G4" s="345"/>
      <c r="H4" s="345"/>
      <c r="I4" s="345"/>
      <c r="J4" s="345"/>
      <c r="K4" s="345"/>
      <c r="L4" s="345"/>
      <c r="M4" s="345"/>
      <c r="N4" s="345"/>
      <c r="O4" s="50"/>
      <c r="P4" s="345" t="s">
        <v>237</v>
      </c>
      <c r="Q4" s="345"/>
      <c r="R4" s="345"/>
      <c r="S4" s="345"/>
      <c r="T4" s="345"/>
      <c r="U4" s="345"/>
      <c r="V4" s="345"/>
      <c r="W4" s="345"/>
      <c r="X4" s="345"/>
      <c r="Y4" s="345"/>
      <c r="Z4" s="50"/>
      <c r="AA4" s="345" t="s">
        <v>238</v>
      </c>
      <c r="AB4" s="345"/>
      <c r="AC4" s="345"/>
      <c r="AD4" s="345"/>
      <c r="AE4" s="345"/>
      <c r="AF4" s="345"/>
      <c r="AG4" s="345"/>
      <c r="AH4" s="345"/>
      <c r="AI4" s="345"/>
      <c r="AJ4" s="345"/>
      <c r="AK4" s="50"/>
      <c r="AL4" s="43"/>
    </row>
    <row r="5" spans="2:39" ht="15">
      <c r="B5" s="323"/>
      <c r="C5" s="324"/>
      <c r="D5" s="325"/>
      <c r="E5" s="73">
        <v>1866</v>
      </c>
      <c r="F5" s="73">
        <v>2133</v>
      </c>
      <c r="G5" s="73">
        <v>2133</v>
      </c>
      <c r="H5" s="73">
        <v>2400</v>
      </c>
      <c r="I5" s="73">
        <v>2400</v>
      </c>
      <c r="J5" s="73">
        <v>2666</v>
      </c>
      <c r="K5" s="73">
        <v>2666</v>
      </c>
      <c r="L5" s="73">
        <v>2933</v>
      </c>
      <c r="M5" s="73">
        <v>2933</v>
      </c>
      <c r="N5" s="73">
        <v>3200</v>
      </c>
      <c r="O5" s="80"/>
      <c r="P5" s="73">
        <v>1866</v>
      </c>
      <c r="Q5" s="73">
        <v>2133</v>
      </c>
      <c r="R5" s="73">
        <v>2133</v>
      </c>
      <c r="S5" s="73">
        <v>2400</v>
      </c>
      <c r="T5" s="73">
        <v>2400</v>
      </c>
      <c r="U5" s="73">
        <v>2666</v>
      </c>
      <c r="V5" s="73">
        <v>2666</v>
      </c>
      <c r="W5" s="73">
        <v>2933</v>
      </c>
      <c r="X5" s="73">
        <v>2933</v>
      </c>
      <c r="Y5" s="73">
        <v>3200</v>
      </c>
      <c r="Z5" s="80"/>
      <c r="AA5" s="73">
        <v>1866</v>
      </c>
      <c r="AB5" s="73">
        <v>2133</v>
      </c>
      <c r="AC5" s="73">
        <v>2133</v>
      </c>
      <c r="AD5" s="73">
        <v>2400</v>
      </c>
      <c r="AE5" s="73">
        <v>2400</v>
      </c>
      <c r="AF5" s="73">
        <v>2666</v>
      </c>
      <c r="AG5" s="73">
        <v>2666</v>
      </c>
      <c r="AH5" s="73">
        <v>2933</v>
      </c>
      <c r="AI5" s="73">
        <v>2933</v>
      </c>
      <c r="AJ5" s="73">
        <v>3200</v>
      </c>
      <c r="AK5" s="80"/>
      <c r="AL5" s="47"/>
      <c r="AM5" s="146"/>
    </row>
    <row r="6" spans="2:39" ht="17.100000000000001" customHeight="1">
      <c r="B6" s="71" t="s">
        <v>46</v>
      </c>
      <c r="C6" s="72" t="s">
        <v>47</v>
      </c>
      <c r="D6" s="71" t="s">
        <v>47</v>
      </c>
      <c r="E6" s="73" t="s">
        <v>197</v>
      </c>
      <c r="F6" s="73" t="s">
        <v>198</v>
      </c>
      <c r="G6" s="73" t="s">
        <v>199</v>
      </c>
      <c r="H6" s="73" t="s">
        <v>239</v>
      </c>
      <c r="I6" s="73" t="s">
        <v>240</v>
      </c>
      <c r="J6" s="73" t="s">
        <v>241</v>
      </c>
      <c r="K6" s="73" t="s">
        <v>242</v>
      </c>
      <c r="L6" s="73" t="s">
        <v>364</v>
      </c>
      <c r="M6" s="73" t="s">
        <v>365</v>
      </c>
      <c r="N6" s="73" t="s">
        <v>349</v>
      </c>
      <c r="O6" s="74"/>
      <c r="P6" s="73" t="s">
        <v>197</v>
      </c>
      <c r="Q6" s="73" t="s">
        <v>198</v>
      </c>
      <c r="R6" s="73" t="s">
        <v>199</v>
      </c>
      <c r="S6" s="73" t="s">
        <v>239</v>
      </c>
      <c r="T6" s="73" t="s">
        <v>240</v>
      </c>
      <c r="U6" s="73" t="s">
        <v>241</v>
      </c>
      <c r="V6" s="73" t="s">
        <v>242</v>
      </c>
      <c r="W6" s="73" t="s">
        <v>364</v>
      </c>
      <c r="X6" s="73" t="s">
        <v>365</v>
      </c>
      <c r="Y6" s="73" t="s">
        <v>349</v>
      </c>
      <c r="Z6" s="74"/>
      <c r="AA6" s="73" t="s">
        <v>197</v>
      </c>
      <c r="AB6" s="73" t="s">
        <v>198</v>
      </c>
      <c r="AC6" s="73" t="s">
        <v>199</v>
      </c>
      <c r="AD6" s="73" t="s">
        <v>239</v>
      </c>
      <c r="AE6" s="73" t="s">
        <v>240</v>
      </c>
      <c r="AF6" s="73" t="s">
        <v>241</v>
      </c>
      <c r="AG6" s="73" t="s">
        <v>242</v>
      </c>
      <c r="AH6" s="73" t="s">
        <v>364</v>
      </c>
      <c r="AI6" s="73" t="s">
        <v>365</v>
      </c>
      <c r="AJ6" s="73" t="s">
        <v>349</v>
      </c>
      <c r="AK6" s="74"/>
      <c r="AL6" s="43"/>
    </row>
    <row r="7" spans="2:39" ht="15">
      <c r="B7" s="61"/>
      <c r="C7" s="326" t="s">
        <v>184</v>
      </c>
      <c r="D7" s="326"/>
      <c r="E7" s="224">
        <v>1.26</v>
      </c>
      <c r="F7" s="224">
        <v>1.26</v>
      </c>
      <c r="G7" s="224">
        <v>1.26</v>
      </c>
      <c r="H7" s="224">
        <v>1.26</v>
      </c>
      <c r="I7" s="224">
        <v>1.26</v>
      </c>
      <c r="J7" s="224">
        <v>1.26</v>
      </c>
      <c r="K7" s="224">
        <v>1.26</v>
      </c>
      <c r="L7" s="224">
        <v>1.26</v>
      </c>
      <c r="M7" s="224">
        <v>1.26</v>
      </c>
      <c r="N7" s="224">
        <v>1.26</v>
      </c>
      <c r="O7" s="75"/>
      <c r="P7" s="224">
        <v>1.26</v>
      </c>
      <c r="Q7" s="224">
        <v>1.26</v>
      </c>
      <c r="R7" s="224">
        <v>1.26</v>
      </c>
      <c r="S7" s="224">
        <v>1.26</v>
      </c>
      <c r="T7" s="224">
        <v>1.26</v>
      </c>
      <c r="U7" s="224">
        <v>1.26</v>
      </c>
      <c r="V7" s="224">
        <v>1.26</v>
      </c>
      <c r="W7" s="224">
        <v>1.26</v>
      </c>
      <c r="X7" s="224">
        <v>1.26</v>
      </c>
      <c r="Y7" s="224">
        <v>1.26</v>
      </c>
      <c r="Z7" s="75"/>
      <c r="AA7" s="224">
        <v>1.26</v>
      </c>
      <c r="AB7" s="224">
        <v>1.26</v>
      </c>
      <c r="AC7" s="224">
        <v>1.26</v>
      </c>
      <c r="AD7" s="224">
        <v>1.26</v>
      </c>
      <c r="AE7" s="224">
        <v>1.26</v>
      </c>
      <c r="AF7" s="224">
        <v>1.26</v>
      </c>
      <c r="AG7" s="224">
        <v>1.26</v>
      </c>
      <c r="AH7" s="224">
        <v>1.26</v>
      </c>
      <c r="AI7" s="224">
        <v>1.26</v>
      </c>
      <c r="AJ7" s="224">
        <v>1.26</v>
      </c>
      <c r="AK7" s="75">
        <v>1.2</v>
      </c>
      <c r="AL7" s="46" t="s">
        <v>10</v>
      </c>
    </row>
    <row r="8" spans="2:39" ht="15">
      <c r="B8" s="61"/>
      <c r="C8" s="326" t="s">
        <v>185</v>
      </c>
      <c r="D8" s="326"/>
      <c r="E8" s="224">
        <v>1.1399999999999999</v>
      </c>
      <c r="F8" s="224">
        <v>1.1399999999999999</v>
      </c>
      <c r="G8" s="224">
        <v>1.1399999999999999</v>
      </c>
      <c r="H8" s="224">
        <v>1.1399999999999999</v>
      </c>
      <c r="I8" s="224">
        <v>1.1399999999999999</v>
      </c>
      <c r="J8" s="224">
        <v>1.1399999999999999</v>
      </c>
      <c r="K8" s="224">
        <v>1.1399999999999999</v>
      </c>
      <c r="L8" s="224">
        <v>1.1399999999999999</v>
      </c>
      <c r="M8" s="224">
        <v>1.1399999999999999</v>
      </c>
      <c r="N8" s="224">
        <v>1.1399999999999999</v>
      </c>
      <c r="O8" s="75"/>
      <c r="P8" s="224">
        <v>1.1399999999999999</v>
      </c>
      <c r="Q8" s="224">
        <v>1.1399999999999999</v>
      </c>
      <c r="R8" s="224">
        <v>1.1399999999999999</v>
      </c>
      <c r="S8" s="224">
        <v>1.1399999999999999</v>
      </c>
      <c r="T8" s="224">
        <v>1.1399999999999999</v>
      </c>
      <c r="U8" s="224">
        <v>1.1399999999999999</v>
      </c>
      <c r="V8" s="224">
        <v>1.1399999999999999</v>
      </c>
      <c r="W8" s="224">
        <v>1.1399999999999999</v>
      </c>
      <c r="X8" s="224">
        <v>1.1399999999999999</v>
      </c>
      <c r="Y8" s="224">
        <v>1.1399999999999999</v>
      </c>
      <c r="Z8" s="75"/>
      <c r="AA8" s="224">
        <v>1.1399999999999999</v>
      </c>
      <c r="AB8" s="224">
        <v>1.1399999999999999</v>
      </c>
      <c r="AC8" s="224">
        <v>1.1399999999999999</v>
      </c>
      <c r="AD8" s="224">
        <v>1.1399999999999999</v>
      </c>
      <c r="AE8" s="224">
        <v>1.1399999999999999</v>
      </c>
      <c r="AF8" s="224">
        <v>1.1399999999999999</v>
      </c>
      <c r="AG8" s="224">
        <v>1.1399999999999999</v>
      </c>
      <c r="AH8" s="224">
        <v>1.1399999999999999</v>
      </c>
      <c r="AI8" s="224">
        <v>1.1399999999999999</v>
      </c>
      <c r="AJ8" s="224">
        <v>1.1399999999999999</v>
      </c>
      <c r="AK8" s="75">
        <v>1.2</v>
      </c>
      <c r="AL8" s="46" t="s">
        <v>10</v>
      </c>
    </row>
    <row r="9" spans="2:39" ht="15">
      <c r="B9" s="61"/>
      <c r="C9" s="330" t="s">
        <v>268</v>
      </c>
      <c r="D9" s="331"/>
      <c r="E9" s="224">
        <v>2.75</v>
      </c>
      <c r="F9" s="224">
        <v>2.75</v>
      </c>
      <c r="G9" s="224">
        <v>2.75</v>
      </c>
      <c r="H9" s="224">
        <v>2.75</v>
      </c>
      <c r="I9" s="224">
        <v>2.75</v>
      </c>
      <c r="J9" s="224">
        <v>2.75</v>
      </c>
      <c r="K9" s="224">
        <v>2.75</v>
      </c>
      <c r="L9" s="224">
        <v>2.75</v>
      </c>
      <c r="M9" s="224">
        <v>2.75</v>
      </c>
      <c r="N9" s="224">
        <v>2.75</v>
      </c>
      <c r="O9" s="75"/>
      <c r="P9" s="224">
        <v>2.75</v>
      </c>
      <c r="Q9" s="224">
        <v>2.75</v>
      </c>
      <c r="R9" s="224">
        <v>2.75</v>
      </c>
      <c r="S9" s="224">
        <v>2.75</v>
      </c>
      <c r="T9" s="224">
        <v>2.75</v>
      </c>
      <c r="U9" s="224">
        <v>2.75</v>
      </c>
      <c r="V9" s="224">
        <v>2.75</v>
      </c>
      <c r="W9" s="224">
        <v>2.75</v>
      </c>
      <c r="X9" s="224">
        <v>2.75</v>
      </c>
      <c r="Y9" s="224">
        <v>2.75</v>
      </c>
      <c r="Z9" s="75"/>
      <c r="AA9" s="224">
        <v>2.75</v>
      </c>
      <c r="AB9" s="224">
        <v>2.75</v>
      </c>
      <c r="AC9" s="224">
        <v>2.75</v>
      </c>
      <c r="AD9" s="224">
        <v>2.75</v>
      </c>
      <c r="AE9" s="224">
        <v>2.75</v>
      </c>
      <c r="AF9" s="224">
        <v>2.75</v>
      </c>
      <c r="AG9" s="224">
        <v>2.75</v>
      </c>
      <c r="AH9" s="224">
        <v>2.75</v>
      </c>
      <c r="AI9" s="224">
        <v>2.75</v>
      </c>
      <c r="AJ9" s="224">
        <v>2.75</v>
      </c>
      <c r="AK9" s="75">
        <v>2.5</v>
      </c>
      <c r="AL9" s="46" t="s">
        <v>10</v>
      </c>
    </row>
    <row r="10" spans="2:39" ht="15">
      <c r="B10" s="61"/>
      <c r="C10" s="330" t="s">
        <v>267</v>
      </c>
      <c r="D10" s="331"/>
      <c r="E10" s="224">
        <v>2.375</v>
      </c>
      <c r="F10" s="224">
        <v>2.375</v>
      </c>
      <c r="G10" s="224">
        <v>2.375</v>
      </c>
      <c r="H10" s="224">
        <v>2.375</v>
      </c>
      <c r="I10" s="224">
        <v>2.375</v>
      </c>
      <c r="J10" s="224">
        <v>2.375</v>
      </c>
      <c r="K10" s="224">
        <v>2.375</v>
      </c>
      <c r="L10" s="224">
        <v>2.375</v>
      </c>
      <c r="M10" s="224">
        <v>2.375</v>
      </c>
      <c r="N10" s="224">
        <v>2.375</v>
      </c>
      <c r="O10" s="75"/>
      <c r="P10" s="224">
        <v>2.375</v>
      </c>
      <c r="Q10" s="224">
        <v>2.375</v>
      </c>
      <c r="R10" s="224">
        <v>2.375</v>
      </c>
      <c r="S10" s="224">
        <v>2.375</v>
      </c>
      <c r="T10" s="224">
        <v>2.375</v>
      </c>
      <c r="U10" s="224">
        <v>2.375</v>
      </c>
      <c r="V10" s="224">
        <v>2.375</v>
      </c>
      <c r="W10" s="224">
        <v>2.375</v>
      </c>
      <c r="X10" s="224">
        <v>2.375</v>
      </c>
      <c r="Y10" s="224">
        <v>2.375</v>
      </c>
      <c r="Z10" s="75"/>
      <c r="AA10" s="224">
        <v>2.375</v>
      </c>
      <c r="AB10" s="224">
        <v>2.375</v>
      </c>
      <c r="AC10" s="224">
        <v>2.375</v>
      </c>
      <c r="AD10" s="224">
        <v>2.375</v>
      </c>
      <c r="AE10" s="224">
        <v>2.375</v>
      </c>
      <c r="AF10" s="224">
        <v>2.375</v>
      </c>
      <c r="AG10" s="224">
        <v>2.375</v>
      </c>
      <c r="AH10" s="224">
        <v>2.375</v>
      </c>
      <c r="AI10" s="224">
        <v>2.375</v>
      </c>
      <c r="AJ10" s="224">
        <v>2.375</v>
      </c>
      <c r="AK10" s="75">
        <v>2.5</v>
      </c>
      <c r="AL10" s="46" t="s">
        <v>10</v>
      </c>
    </row>
    <row r="11" spans="2:39" ht="15">
      <c r="B11" s="327"/>
      <c r="C11" s="328"/>
      <c r="D11" s="329"/>
      <c r="E11" s="123"/>
      <c r="F11" s="123"/>
      <c r="G11" s="123"/>
      <c r="H11" s="123"/>
      <c r="I11" s="123"/>
      <c r="J11" s="123"/>
      <c r="K11" s="123"/>
      <c r="L11" s="123"/>
      <c r="M11" s="76"/>
      <c r="N11" s="76"/>
      <c r="O11" s="75"/>
      <c r="P11" s="123"/>
      <c r="Q11" s="123"/>
      <c r="R11" s="123"/>
      <c r="S11" s="123"/>
      <c r="T11" s="123"/>
      <c r="U11" s="123"/>
      <c r="V11" s="123"/>
      <c r="W11" s="123"/>
      <c r="X11" s="123"/>
      <c r="Y11" s="76"/>
      <c r="Z11" s="75"/>
      <c r="AA11" s="123"/>
      <c r="AB11" s="123"/>
      <c r="AC11" s="123"/>
      <c r="AD11" s="123"/>
      <c r="AE11" s="123"/>
      <c r="AF11" s="123"/>
      <c r="AG11" s="123"/>
      <c r="AH11" s="123"/>
      <c r="AI11" s="76"/>
      <c r="AJ11" s="76"/>
      <c r="AK11" s="75"/>
      <c r="AL11" s="47"/>
    </row>
    <row r="12" spans="2:39" ht="14.1" customHeight="1">
      <c r="B12" s="335" t="s">
        <v>177</v>
      </c>
      <c r="C12" s="332" t="s">
        <v>243</v>
      </c>
      <c r="D12" s="77" t="s">
        <v>91</v>
      </c>
      <c r="E12" s="297">
        <v>55</v>
      </c>
      <c r="F12" s="297">
        <v>55</v>
      </c>
      <c r="G12" s="297">
        <v>55</v>
      </c>
      <c r="H12" s="297">
        <v>60</v>
      </c>
      <c r="I12" s="297">
        <v>60</v>
      </c>
      <c r="J12" s="297">
        <v>65</v>
      </c>
      <c r="K12" s="297">
        <v>65</v>
      </c>
      <c r="L12" s="263" t="s">
        <v>262</v>
      </c>
      <c r="M12" s="263" t="s">
        <v>262</v>
      </c>
      <c r="N12" s="263" t="s">
        <v>262</v>
      </c>
      <c r="O12" s="80"/>
      <c r="P12" s="297">
        <v>40</v>
      </c>
      <c r="Q12" s="297">
        <v>40</v>
      </c>
      <c r="R12" s="297">
        <v>40</v>
      </c>
      <c r="S12" s="297">
        <v>43</v>
      </c>
      <c r="T12" s="297">
        <v>43</v>
      </c>
      <c r="U12" s="297">
        <v>46</v>
      </c>
      <c r="V12" s="297">
        <v>46</v>
      </c>
      <c r="W12" s="297">
        <v>49</v>
      </c>
      <c r="X12" s="297">
        <v>49</v>
      </c>
      <c r="Y12" s="297">
        <v>52</v>
      </c>
      <c r="Z12" s="80"/>
      <c r="AA12" s="263" t="s">
        <v>262</v>
      </c>
      <c r="AB12" s="263" t="s">
        <v>262</v>
      </c>
      <c r="AC12" s="263" t="s">
        <v>262</v>
      </c>
      <c r="AD12" s="263" t="s">
        <v>262</v>
      </c>
      <c r="AE12" s="263" t="s">
        <v>262</v>
      </c>
      <c r="AF12" s="263" t="s">
        <v>262</v>
      </c>
      <c r="AG12" s="263" t="s">
        <v>262</v>
      </c>
      <c r="AH12" s="263" t="s">
        <v>262</v>
      </c>
      <c r="AI12" s="263" t="s">
        <v>262</v>
      </c>
      <c r="AJ12" s="263" t="s">
        <v>262</v>
      </c>
      <c r="AK12" s="80"/>
      <c r="AL12" s="46" t="s">
        <v>11</v>
      </c>
      <c r="AM12" s="146" t="s">
        <v>200</v>
      </c>
    </row>
    <row r="13" spans="2:39" ht="14.1" customHeight="1">
      <c r="B13" s="335"/>
      <c r="C13" s="333"/>
      <c r="D13" s="77" t="s">
        <v>92</v>
      </c>
      <c r="E13" s="297">
        <v>55</v>
      </c>
      <c r="F13" s="297">
        <v>55</v>
      </c>
      <c r="G13" s="297">
        <v>55</v>
      </c>
      <c r="H13" s="297">
        <v>60</v>
      </c>
      <c r="I13" s="297">
        <v>60</v>
      </c>
      <c r="J13" s="297">
        <v>65</v>
      </c>
      <c r="K13" s="297">
        <v>65</v>
      </c>
      <c r="L13" s="263" t="s">
        <v>262</v>
      </c>
      <c r="M13" s="263" t="s">
        <v>262</v>
      </c>
      <c r="N13" s="263" t="s">
        <v>262</v>
      </c>
      <c r="O13" s="80"/>
      <c r="P13" s="297">
        <v>45</v>
      </c>
      <c r="Q13" s="297">
        <v>45</v>
      </c>
      <c r="R13" s="297">
        <v>45</v>
      </c>
      <c r="S13" s="297">
        <v>48</v>
      </c>
      <c r="T13" s="297">
        <v>48</v>
      </c>
      <c r="U13" s="297">
        <v>51</v>
      </c>
      <c r="V13" s="297">
        <v>51</v>
      </c>
      <c r="W13" s="297">
        <v>54</v>
      </c>
      <c r="X13" s="297">
        <v>54</v>
      </c>
      <c r="Y13" s="297">
        <v>57</v>
      </c>
      <c r="Z13" s="80"/>
      <c r="AA13" s="263" t="s">
        <v>262</v>
      </c>
      <c r="AB13" s="263" t="s">
        <v>262</v>
      </c>
      <c r="AC13" s="263" t="s">
        <v>262</v>
      </c>
      <c r="AD13" s="263" t="s">
        <v>262</v>
      </c>
      <c r="AE13" s="263" t="s">
        <v>262</v>
      </c>
      <c r="AF13" s="263" t="s">
        <v>262</v>
      </c>
      <c r="AG13" s="263" t="s">
        <v>262</v>
      </c>
      <c r="AH13" s="263" t="s">
        <v>262</v>
      </c>
      <c r="AI13" s="263" t="s">
        <v>262</v>
      </c>
      <c r="AJ13" s="263" t="s">
        <v>262</v>
      </c>
      <c r="AK13" s="80"/>
      <c r="AL13" s="46" t="s">
        <v>11</v>
      </c>
      <c r="AM13" s="146" t="s">
        <v>200</v>
      </c>
    </row>
    <row r="14" spans="2:39" ht="14.1" customHeight="1">
      <c r="B14" s="335"/>
      <c r="C14" s="334"/>
      <c r="D14" s="77" t="s">
        <v>90</v>
      </c>
      <c r="E14" s="297">
        <v>65</v>
      </c>
      <c r="F14" s="297">
        <v>65</v>
      </c>
      <c r="G14" s="297">
        <v>65</v>
      </c>
      <c r="H14" s="297">
        <v>65</v>
      </c>
      <c r="I14" s="297">
        <v>65</v>
      </c>
      <c r="J14" s="297">
        <v>70</v>
      </c>
      <c r="K14" s="297">
        <v>70</v>
      </c>
      <c r="L14" s="263" t="s">
        <v>262</v>
      </c>
      <c r="M14" s="263" t="s">
        <v>262</v>
      </c>
      <c r="N14" s="263" t="s">
        <v>262</v>
      </c>
      <c r="O14" s="80"/>
      <c r="P14" s="297">
        <v>75</v>
      </c>
      <c r="Q14" s="297">
        <v>75</v>
      </c>
      <c r="R14" s="297">
        <v>75</v>
      </c>
      <c r="S14" s="297">
        <v>80</v>
      </c>
      <c r="T14" s="297">
        <v>80</v>
      </c>
      <c r="U14" s="297">
        <v>85</v>
      </c>
      <c r="V14" s="297">
        <v>85</v>
      </c>
      <c r="W14" s="297">
        <v>90</v>
      </c>
      <c r="X14" s="297">
        <v>90</v>
      </c>
      <c r="Y14" s="297">
        <v>95</v>
      </c>
      <c r="Z14" s="80"/>
      <c r="AA14" s="263" t="s">
        <v>262</v>
      </c>
      <c r="AB14" s="263" t="s">
        <v>262</v>
      </c>
      <c r="AC14" s="263" t="s">
        <v>262</v>
      </c>
      <c r="AD14" s="263" t="s">
        <v>262</v>
      </c>
      <c r="AE14" s="263" t="s">
        <v>262</v>
      </c>
      <c r="AF14" s="263" t="s">
        <v>262</v>
      </c>
      <c r="AG14" s="263" t="s">
        <v>262</v>
      </c>
      <c r="AH14" s="263" t="s">
        <v>262</v>
      </c>
      <c r="AI14" s="263" t="s">
        <v>262</v>
      </c>
      <c r="AJ14" s="263" t="s">
        <v>262</v>
      </c>
      <c r="AK14" s="80"/>
      <c r="AL14" s="46" t="s">
        <v>11</v>
      </c>
      <c r="AM14" s="146" t="s">
        <v>200</v>
      </c>
    </row>
    <row r="15" spans="2:39" ht="14.1" customHeight="1">
      <c r="B15" s="335" t="s">
        <v>244</v>
      </c>
      <c r="C15" s="332" t="s">
        <v>245</v>
      </c>
      <c r="D15" s="77" t="s">
        <v>89</v>
      </c>
      <c r="E15" s="298">
        <v>3</v>
      </c>
      <c r="F15" s="298">
        <v>3</v>
      </c>
      <c r="G15" s="298">
        <v>3</v>
      </c>
      <c r="H15" s="298">
        <v>3</v>
      </c>
      <c r="I15" s="298">
        <v>3</v>
      </c>
      <c r="J15" s="298">
        <v>3</v>
      </c>
      <c r="K15" s="298">
        <v>3</v>
      </c>
      <c r="L15" s="264" t="s">
        <v>262</v>
      </c>
      <c r="M15" s="264" t="s">
        <v>262</v>
      </c>
      <c r="N15" s="264" t="s">
        <v>262</v>
      </c>
      <c r="O15" s="80"/>
      <c r="P15" s="298">
        <v>3</v>
      </c>
      <c r="Q15" s="298">
        <v>3</v>
      </c>
      <c r="R15" s="298">
        <v>3</v>
      </c>
      <c r="S15" s="298">
        <v>3</v>
      </c>
      <c r="T15" s="298">
        <v>3</v>
      </c>
      <c r="U15" s="298">
        <v>3</v>
      </c>
      <c r="V15" s="298">
        <v>3</v>
      </c>
      <c r="W15" s="298">
        <v>3</v>
      </c>
      <c r="X15" s="298">
        <v>3</v>
      </c>
      <c r="Y15" s="298">
        <v>3</v>
      </c>
      <c r="Z15" s="80"/>
      <c r="AA15" s="264" t="s">
        <v>262</v>
      </c>
      <c r="AB15" s="264" t="s">
        <v>262</v>
      </c>
      <c r="AC15" s="264" t="s">
        <v>262</v>
      </c>
      <c r="AD15" s="264" t="s">
        <v>262</v>
      </c>
      <c r="AE15" s="264" t="s">
        <v>262</v>
      </c>
      <c r="AF15" s="264" t="s">
        <v>262</v>
      </c>
      <c r="AG15" s="264" t="s">
        <v>262</v>
      </c>
      <c r="AH15" s="264" t="s">
        <v>262</v>
      </c>
      <c r="AI15" s="264" t="s">
        <v>262</v>
      </c>
      <c r="AJ15" s="264" t="s">
        <v>262</v>
      </c>
      <c r="AK15" s="80"/>
      <c r="AL15" s="46" t="s">
        <v>11</v>
      </c>
      <c r="AM15" s="146" t="s">
        <v>200</v>
      </c>
    </row>
    <row r="16" spans="2:39" ht="14.1" customHeight="1">
      <c r="B16" s="335"/>
      <c r="C16" s="334"/>
      <c r="D16" s="77" t="s">
        <v>90</v>
      </c>
      <c r="E16" s="298">
        <v>3.6</v>
      </c>
      <c r="F16" s="298">
        <v>3.6</v>
      </c>
      <c r="G16" s="298">
        <v>3.6</v>
      </c>
      <c r="H16" s="298">
        <v>3.6</v>
      </c>
      <c r="I16" s="298">
        <v>3.6</v>
      </c>
      <c r="J16" s="298">
        <v>3.6</v>
      </c>
      <c r="K16" s="298">
        <v>3.6</v>
      </c>
      <c r="L16" s="264" t="s">
        <v>262</v>
      </c>
      <c r="M16" s="264" t="s">
        <v>262</v>
      </c>
      <c r="N16" s="264" t="s">
        <v>262</v>
      </c>
      <c r="O16" s="80"/>
      <c r="P16" s="298">
        <v>4</v>
      </c>
      <c r="Q16" s="298">
        <v>4</v>
      </c>
      <c r="R16" s="298">
        <v>4</v>
      </c>
      <c r="S16" s="298">
        <v>4</v>
      </c>
      <c r="T16" s="298">
        <v>4</v>
      </c>
      <c r="U16" s="298">
        <v>4</v>
      </c>
      <c r="V16" s="298">
        <v>4</v>
      </c>
      <c r="W16" s="298">
        <v>4</v>
      </c>
      <c r="X16" s="298">
        <v>4</v>
      </c>
      <c r="Y16" s="298">
        <v>4</v>
      </c>
      <c r="Z16" s="80"/>
      <c r="AA16" s="264" t="s">
        <v>262</v>
      </c>
      <c r="AB16" s="264" t="s">
        <v>262</v>
      </c>
      <c r="AC16" s="264" t="s">
        <v>262</v>
      </c>
      <c r="AD16" s="264" t="s">
        <v>262</v>
      </c>
      <c r="AE16" s="264" t="s">
        <v>262</v>
      </c>
      <c r="AF16" s="264" t="s">
        <v>262</v>
      </c>
      <c r="AG16" s="264" t="s">
        <v>262</v>
      </c>
      <c r="AH16" s="264" t="s">
        <v>262</v>
      </c>
      <c r="AI16" s="264" t="s">
        <v>262</v>
      </c>
      <c r="AJ16" s="264" t="s">
        <v>262</v>
      </c>
      <c r="AK16" s="80"/>
      <c r="AL16" s="46" t="s">
        <v>11</v>
      </c>
      <c r="AM16" s="146" t="s">
        <v>200</v>
      </c>
    </row>
    <row r="17" spans="2:39" ht="14.1" customHeight="1">
      <c r="B17" s="338" t="s">
        <v>188</v>
      </c>
      <c r="C17" s="340" t="s">
        <v>128</v>
      </c>
      <c r="D17" s="77" t="s">
        <v>89</v>
      </c>
      <c r="E17" s="297">
        <v>27</v>
      </c>
      <c r="F17" s="297">
        <v>27</v>
      </c>
      <c r="G17" s="297">
        <v>27</v>
      </c>
      <c r="H17" s="297">
        <v>29</v>
      </c>
      <c r="I17" s="297">
        <v>29</v>
      </c>
      <c r="J17" s="297">
        <v>34</v>
      </c>
      <c r="K17" s="297">
        <v>34</v>
      </c>
      <c r="L17" s="263" t="s">
        <v>262</v>
      </c>
      <c r="M17" s="263" t="s">
        <v>262</v>
      </c>
      <c r="N17" s="263" t="s">
        <v>262</v>
      </c>
      <c r="O17" s="80"/>
      <c r="P17" s="297">
        <v>25</v>
      </c>
      <c r="Q17" s="297">
        <v>25</v>
      </c>
      <c r="R17" s="297">
        <v>25</v>
      </c>
      <c r="S17" s="297">
        <v>25</v>
      </c>
      <c r="T17" s="297">
        <v>25</v>
      </c>
      <c r="U17" s="297">
        <v>25</v>
      </c>
      <c r="V17" s="297">
        <v>25</v>
      </c>
      <c r="W17" s="297">
        <v>25</v>
      </c>
      <c r="X17" s="297">
        <v>25</v>
      </c>
      <c r="Y17" s="297">
        <v>25</v>
      </c>
      <c r="Z17" s="80"/>
      <c r="AA17" s="263" t="s">
        <v>262</v>
      </c>
      <c r="AB17" s="263" t="s">
        <v>262</v>
      </c>
      <c r="AC17" s="263" t="s">
        <v>262</v>
      </c>
      <c r="AD17" s="263" t="s">
        <v>262</v>
      </c>
      <c r="AE17" s="263" t="s">
        <v>262</v>
      </c>
      <c r="AF17" s="263" t="s">
        <v>262</v>
      </c>
      <c r="AG17" s="263" t="s">
        <v>262</v>
      </c>
      <c r="AH17" s="263" t="s">
        <v>262</v>
      </c>
      <c r="AI17" s="263" t="s">
        <v>262</v>
      </c>
      <c r="AJ17" s="263" t="s">
        <v>262</v>
      </c>
      <c r="AK17" s="80"/>
      <c r="AL17" s="46" t="s">
        <v>11</v>
      </c>
      <c r="AM17" s="146" t="s">
        <v>200</v>
      </c>
    </row>
    <row r="18" spans="2:39" ht="14.1" customHeight="1">
      <c r="B18" s="339"/>
      <c r="C18" s="341"/>
      <c r="D18" s="77" t="s">
        <v>90</v>
      </c>
      <c r="E18" s="297">
        <v>27</v>
      </c>
      <c r="F18" s="297">
        <v>27</v>
      </c>
      <c r="G18" s="297">
        <v>27</v>
      </c>
      <c r="H18" s="297">
        <v>29</v>
      </c>
      <c r="I18" s="297">
        <v>29</v>
      </c>
      <c r="J18" s="297">
        <v>34</v>
      </c>
      <c r="K18" s="297">
        <v>34</v>
      </c>
      <c r="L18" s="263" t="s">
        <v>262</v>
      </c>
      <c r="M18" s="263" t="s">
        <v>262</v>
      </c>
      <c r="N18" s="263" t="s">
        <v>262</v>
      </c>
      <c r="O18" s="80"/>
      <c r="P18" s="297">
        <v>25</v>
      </c>
      <c r="Q18" s="297">
        <v>25</v>
      </c>
      <c r="R18" s="297">
        <v>25</v>
      </c>
      <c r="S18" s="297">
        <v>25</v>
      </c>
      <c r="T18" s="297">
        <v>25</v>
      </c>
      <c r="U18" s="297">
        <v>25</v>
      </c>
      <c r="V18" s="297">
        <v>25</v>
      </c>
      <c r="W18" s="297">
        <v>25</v>
      </c>
      <c r="X18" s="297">
        <v>25</v>
      </c>
      <c r="Y18" s="297">
        <v>25</v>
      </c>
      <c r="Z18" s="80"/>
      <c r="AA18" s="263" t="s">
        <v>262</v>
      </c>
      <c r="AB18" s="263" t="s">
        <v>262</v>
      </c>
      <c r="AC18" s="263" t="s">
        <v>262</v>
      </c>
      <c r="AD18" s="263" t="s">
        <v>262</v>
      </c>
      <c r="AE18" s="263" t="s">
        <v>262</v>
      </c>
      <c r="AF18" s="263" t="s">
        <v>262</v>
      </c>
      <c r="AG18" s="263" t="s">
        <v>262</v>
      </c>
      <c r="AH18" s="263" t="s">
        <v>262</v>
      </c>
      <c r="AI18" s="263" t="s">
        <v>262</v>
      </c>
      <c r="AJ18" s="263" t="s">
        <v>262</v>
      </c>
      <c r="AK18" s="80"/>
      <c r="AL18" s="46" t="s">
        <v>11</v>
      </c>
      <c r="AM18" s="146" t="s">
        <v>200</v>
      </c>
    </row>
    <row r="19" spans="2:39" ht="14.1" customHeight="1">
      <c r="B19" s="336" t="s">
        <v>178</v>
      </c>
      <c r="C19" s="332" t="s">
        <v>129</v>
      </c>
      <c r="D19" s="77" t="s">
        <v>89</v>
      </c>
      <c r="E19" s="298">
        <v>40</v>
      </c>
      <c r="F19" s="298">
        <v>42</v>
      </c>
      <c r="G19" s="298">
        <v>42</v>
      </c>
      <c r="H19" s="298">
        <v>45</v>
      </c>
      <c r="I19" s="298">
        <v>45</v>
      </c>
      <c r="J19" s="298">
        <v>50</v>
      </c>
      <c r="K19" s="298">
        <v>50</v>
      </c>
      <c r="L19" s="264" t="s">
        <v>262</v>
      </c>
      <c r="M19" s="264" t="s">
        <v>262</v>
      </c>
      <c r="N19" s="264" t="s">
        <v>262</v>
      </c>
      <c r="O19" s="80"/>
      <c r="P19" s="298">
        <v>33</v>
      </c>
      <c r="Q19" s="298">
        <v>33</v>
      </c>
      <c r="R19" s="298">
        <v>33</v>
      </c>
      <c r="S19" s="298">
        <v>34</v>
      </c>
      <c r="T19" s="298">
        <v>34</v>
      </c>
      <c r="U19" s="298">
        <v>35</v>
      </c>
      <c r="V19" s="298">
        <v>35</v>
      </c>
      <c r="W19" s="298">
        <v>36</v>
      </c>
      <c r="X19" s="298">
        <v>36</v>
      </c>
      <c r="Y19" s="298">
        <v>37</v>
      </c>
      <c r="Z19" s="80"/>
      <c r="AA19" s="264" t="s">
        <v>262</v>
      </c>
      <c r="AB19" s="264" t="s">
        <v>262</v>
      </c>
      <c r="AC19" s="264" t="s">
        <v>262</v>
      </c>
      <c r="AD19" s="264" t="s">
        <v>262</v>
      </c>
      <c r="AE19" s="264" t="s">
        <v>262</v>
      </c>
      <c r="AF19" s="264" t="s">
        <v>262</v>
      </c>
      <c r="AG19" s="264" t="s">
        <v>262</v>
      </c>
      <c r="AH19" s="264" t="s">
        <v>262</v>
      </c>
      <c r="AI19" s="264" t="s">
        <v>262</v>
      </c>
      <c r="AJ19" s="264" t="s">
        <v>262</v>
      </c>
      <c r="AK19" s="80"/>
      <c r="AL19" s="46" t="s">
        <v>11</v>
      </c>
      <c r="AM19" s="146" t="s">
        <v>200</v>
      </c>
    </row>
    <row r="20" spans="2:39" ht="14.1" customHeight="1">
      <c r="B20" s="337"/>
      <c r="C20" s="334"/>
      <c r="D20" s="77" t="s">
        <v>90</v>
      </c>
      <c r="E20" s="298">
        <v>40</v>
      </c>
      <c r="F20" s="298">
        <v>42</v>
      </c>
      <c r="G20" s="298">
        <v>42</v>
      </c>
      <c r="H20" s="298">
        <v>45</v>
      </c>
      <c r="I20" s="298">
        <v>45</v>
      </c>
      <c r="J20" s="298">
        <v>50</v>
      </c>
      <c r="K20" s="298">
        <v>50</v>
      </c>
      <c r="L20" s="264" t="s">
        <v>262</v>
      </c>
      <c r="M20" s="264" t="s">
        <v>262</v>
      </c>
      <c r="N20" s="264" t="s">
        <v>262</v>
      </c>
      <c r="O20" s="80"/>
      <c r="P20" s="298">
        <v>33</v>
      </c>
      <c r="Q20" s="298">
        <v>33</v>
      </c>
      <c r="R20" s="298">
        <v>33</v>
      </c>
      <c r="S20" s="298">
        <v>34</v>
      </c>
      <c r="T20" s="298">
        <v>34</v>
      </c>
      <c r="U20" s="298">
        <v>35</v>
      </c>
      <c r="V20" s="298">
        <v>35</v>
      </c>
      <c r="W20" s="298">
        <v>36</v>
      </c>
      <c r="X20" s="298">
        <v>36</v>
      </c>
      <c r="Y20" s="298">
        <v>37</v>
      </c>
      <c r="Z20" s="80"/>
      <c r="AA20" s="264" t="s">
        <v>262</v>
      </c>
      <c r="AB20" s="264" t="s">
        <v>262</v>
      </c>
      <c r="AC20" s="264" t="s">
        <v>262</v>
      </c>
      <c r="AD20" s="264" t="s">
        <v>262</v>
      </c>
      <c r="AE20" s="264" t="s">
        <v>262</v>
      </c>
      <c r="AF20" s="264" t="s">
        <v>262</v>
      </c>
      <c r="AG20" s="264" t="s">
        <v>262</v>
      </c>
      <c r="AH20" s="264" t="s">
        <v>262</v>
      </c>
      <c r="AI20" s="264" t="s">
        <v>262</v>
      </c>
      <c r="AJ20" s="264" t="s">
        <v>262</v>
      </c>
      <c r="AK20" s="80"/>
      <c r="AL20" s="46" t="s">
        <v>11</v>
      </c>
      <c r="AM20" s="146" t="s">
        <v>200</v>
      </c>
    </row>
    <row r="21" spans="2:39" ht="14.1" customHeight="1">
      <c r="B21" s="335" t="s">
        <v>179</v>
      </c>
      <c r="C21" s="326" t="s">
        <v>176</v>
      </c>
      <c r="D21" s="77" t="s">
        <v>91</v>
      </c>
      <c r="E21" s="297">
        <v>40</v>
      </c>
      <c r="F21" s="297">
        <v>40</v>
      </c>
      <c r="G21" s="297">
        <v>40</v>
      </c>
      <c r="H21" s="297">
        <v>40</v>
      </c>
      <c r="I21" s="297">
        <v>40</v>
      </c>
      <c r="J21" s="297">
        <v>40</v>
      </c>
      <c r="K21" s="297">
        <v>40</v>
      </c>
      <c r="L21" s="263" t="s">
        <v>262</v>
      </c>
      <c r="M21" s="263" t="s">
        <v>262</v>
      </c>
      <c r="N21" s="263" t="s">
        <v>262</v>
      </c>
      <c r="O21" s="80"/>
      <c r="P21" s="297">
        <v>30</v>
      </c>
      <c r="Q21" s="297">
        <v>30</v>
      </c>
      <c r="R21" s="297">
        <v>30</v>
      </c>
      <c r="S21" s="297">
        <v>32</v>
      </c>
      <c r="T21" s="297">
        <v>32</v>
      </c>
      <c r="U21" s="297">
        <v>34</v>
      </c>
      <c r="V21" s="297">
        <v>34</v>
      </c>
      <c r="W21" s="297">
        <v>36</v>
      </c>
      <c r="X21" s="297">
        <v>36</v>
      </c>
      <c r="Y21" s="297">
        <v>38</v>
      </c>
      <c r="Z21" s="80"/>
      <c r="AA21" s="263" t="s">
        <v>262</v>
      </c>
      <c r="AB21" s="263" t="s">
        <v>262</v>
      </c>
      <c r="AC21" s="263" t="s">
        <v>262</v>
      </c>
      <c r="AD21" s="263" t="s">
        <v>262</v>
      </c>
      <c r="AE21" s="263" t="s">
        <v>262</v>
      </c>
      <c r="AF21" s="263" t="s">
        <v>262</v>
      </c>
      <c r="AG21" s="263" t="s">
        <v>262</v>
      </c>
      <c r="AH21" s="263" t="s">
        <v>262</v>
      </c>
      <c r="AI21" s="263" t="s">
        <v>262</v>
      </c>
      <c r="AJ21" s="263" t="s">
        <v>262</v>
      </c>
      <c r="AK21" s="80"/>
      <c r="AL21" s="46" t="s">
        <v>11</v>
      </c>
      <c r="AM21" s="146" t="s">
        <v>200</v>
      </c>
    </row>
    <row r="22" spans="2:39" ht="14.1" customHeight="1">
      <c r="B22" s="335"/>
      <c r="C22" s="326"/>
      <c r="D22" s="77" t="s">
        <v>92</v>
      </c>
      <c r="E22" s="297">
        <v>40</v>
      </c>
      <c r="F22" s="297">
        <v>40</v>
      </c>
      <c r="G22" s="297">
        <v>40</v>
      </c>
      <c r="H22" s="297">
        <v>40</v>
      </c>
      <c r="I22" s="297">
        <v>40</v>
      </c>
      <c r="J22" s="297">
        <v>40</v>
      </c>
      <c r="K22" s="297">
        <v>40</v>
      </c>
      <c r="L22" s="263" t="s">
        <v>262</v>
      </c>
      <c r="M22" s="263" t="s">
        <v>262</v>
      </c>
      <c r="N22" s="263" t="s">
        <v>262</v>
      </c>
      <c r="O22" s="80"/>
      <c r="P22" s="297">
        <v>35</v>
      </c>
      <c r="Q22" s="297">
        <v>35</v>
      </c>
      <c r="R22" s="297">
        <v>35</v>
      </c>
      <c r="S22" s="297">
        <v>37</v>
      </c>
      <c r="T22" s="297">
        <v>37</v>
      </c>
      <c r="U22" s="297">
        <v>39</v>
      </c>
      <c r="V22" s="297">
        <v>39</v>
      </c>
      <c r="W22" s="297">
        <v>41</v>
      </c>
      <c r="X22" s="297">
        <v>41</v>
      </c>
      <c r="Y22" s="297">
        <v>43</v>
      </c>
      <c r="Z22" s="80"/>
      <c r="AA22" s="263" t="s">
        <v>262</v>
      </c>
      <c r="AB22" s="263" t="s">
        <v>262</v>
      </c>
      <c r="AC22" s="263" t="s">
        <v>262</v>
      </c>
      <c r="AD22" s="263" t="s">
        <v>262</v>
      </c>
      <c r="AE22" s="263" t="s">
        <v>262</v>
      </c>
      <c r="AF22" s="263" t="s">
        <v>262</v>
      </c>
      <c r="AG22" s="263" t="s">
        <v>262</v>
      </c>
      <c r="AH22" s="263" t="s">
        <v>262</v>
      </c>
      <c r="AI22" s="263" t="s">
        <v>262</v>
      </c>
      <c r="AJ22" s="263" t="s">
        <v>262</v>
      </c>
      <c r="AK22" s="80"/>
      <c r="AL22" s="46" t="s">
        <v>11</v>
      </c>
      <c r="AM22" s="146" t="s">
        <v>200</v>
      </c>
    </row>
    <row r="23" spans="2:39" ht="14.1" customHeight="1">
      <c r="B23" s="335"/>
      <c r="C23" s="326"/>
      <c r="D23" s="77" t="s">
        <v>90</v>
      </c>
      <c r="E23" s="297">
        <v>40</v>
      </c>
      <c r="F23" s="297">
        <v>40</v>
      </c>
      <c r="G23" s="297">
        <v>40</v>
      </c>
      <c r="H23" s="297">
        <v>40</v>
      </c>
      <c r="I23" s="297">
        <v>40</v>
      </c>
      <c r="J23" s="297">
        <v>40</v>
      </c>
      <c r="K23" s="297">
        <v>40</v>
      </c>
      <c r="L23" s="263" t="s">
        <v>262</v>
      </c>
      <c r="M23" s="263" t="s">
        <v>262</v>
      </c>
      <c r="N23" s="263" t="s">
        <v>262</v>
      </c>
      <c r="O23" s="80"/>
      <c r="P23" s="297">
        <v>39</v>
      </c>
      <c r="Q23" s="297">
        <v>39</v>
      </c>
      <c r="R23" s="297">
        <v>39</v>
      </c>
      <c r="S23" s="297">
        <v>41</v>
      </c>
      <c r="T23" s="297">
        <v>41</v>
      </c>
      <c r="U23" s="297">
        <v>43</v>
      </c>
      <c r="V23" s="297">
        <v>43</v>
      </c>
      <c r="W23" s="297">
        <v>45</v>
      </c>
      <c r="X23" s="297">
        <v>45</v>
      </c>
      <c r="Y23" s="297">
        <v>47</v>
      </c>
      <c r="Z23" s="80"/>
      <c r="AA23" s="263" t="s">
        <v>262</v>
      </c>
      <c r="AB23" s="263" t="s">
        <v>262</v>
      </c>
      <c r="AC23" s="263" t="s">
        <v>262</v>
      </c>
      <c r="AD23" s="263" t="s">
        <v>262</v>
      </c>
      <c r="AE23" s="263" t="s">
        <v>262</v>
      </c>
      <c r="AF23" s="263" t="s">
        <v>262</v>
      </c>
      <c r="AG23" s="263" t="s">
        <v>262</v>
      </c>
      <c r="AH23" s="263" t="s">
        <v>262</v>
      </c>
      <c r="AI23" s="263" t="s">
        <v>262</v>
      </c>
      <c r="AJ23" s="263" t="s">
        <v>262</v>
      </c>
      <c r="AK23" s="80"/>
      <c r="AL23" s="46" t="s">
        <v>11</v>
      </c>
      <c r="AM23" s="146" t="s">
        <v>200</v>
      </c>
    </row>
    <row r="24" spans="2:39" ht="14.1" customHeight="1">
      <c r="B24" s="335" t="s">
        <v>180</v>
      </c>
      <c r="C24" s="322" t="s">
        <v>131</v>
      </c>
      <c r="D24" s="77" t="s">
        <v>91</v>
      </c>
      <c r="E24" s="298">
        <v>55</v>
      </c>
      <c r="F24" s="298">
        <v>55</v>
      </c>
      <c r="G24" s="298">
        <v>55</v>
      </c>
      <c r="H24" s="298">
        <v>60</v>
      </c>
      <c r="I24" s="298">
        <v>60</v>
      </c>
      <c r="J24" s="298">
        <v>65</v>
      </c>
      <c r="K24" s="298">
        <v>65</v>
      </c>
      <c r="L24" s="264" t="s">
        <v>262</v>
      </c>
      <c r="M24" s="264" t="s">
        <v>262</v>
      </c>
      <c r="N24" s="264" t="s">
        <v>262</v>
      </c>
      <c r="O24" s="80"/>
      <c r="P24" s="298">
        <v>35</v>
      </c>
      <c r="Q24" s="298">
        <v>35</v>
      </c>
      <c r="R24" s="298">
        <v>35</v>
      </c>
      <c r="S24" s="298">
        <v>38</v>
      </c>
      <c r="T24" s="298">
        <v>38</v>
      </c>
      <c r="U24" s="298">
        <v>41</v>
      </c>
      <c r="V24" s="298">
        <v>41</v>
      </c>
      <c r="W24" s="298">
        <v>44</v>
      </c>
      <c r="X24" s="298">
        <v>44</v>
      </c>
      <c r="Y24" s="298">
        <v>47</v>
      </c>
      <c r="Z24" s="80"/>
      <c r="AA24" s="264" t="s">
        <v>262</v>
      </c>
      <c r="AB24" s="264" t="s">
        <v>262</v>
      </c>
      <c r="AC24" s="264" t="s">
        <v>262</v>
      </c>
      <c r="AD24" s="264" t="s">
        <v>262</v>
      </c>
      <c r="AE24" s="264" t="s">
        <v>262</v>
      </c>
      <c r="AF24" s="264" t="s">
        <v>262</v>
      </c>
      <c r="AG24" s="264" t="s">
        <v>262</v>
      </c>
      <c r="AH24" s="264" t="s">
        <v>262</v>
      </c>
      <c r="AI24" s="264" t="s">
        <v>262</v>
      </c>
      <c r="AJ24" s="264" t="s">
        <v>262</v>
      </c>
      <c r="AK24" s="80"/>
      <c r="AL24" s="46" t="s">
        <v>11</v>
      </c>
      <c r="AM24" s="146" t="s">
        <v>200</v>
      </c>
    </row>
    <row r="25" spans="2:39" ht="14.1" customHeight="1">
      <c r="B25" s="335"/>
      <c r="C25" s="322"/>
      <c r="D25" s="77" t="s">
        <v>92</v>
      </c>
      <c r="E25" s="298">
        <v>55</v>
      </c>
      <c r="F25" s="298">
        <v>55</v>
      </c>
      <c r="G25" s="298">
        <v>55</v>
      </c>
      <c r="H25" s="298">
        <v>60</v>
      </c>
      <c r="I25" s="298">
        <v>60</v>
      </c>
      <c r="J25" s="298">
        <v>65</v>
      </c>
      <c r="K25" s="298">
        <v>65</v>
      </c>
      <c r="L25" s="264" t="s">
        <v>262</v>
      </c>
      <c r="M25" s="264" t="s">
        <v>262</v>
      </c>
      <c r="N25" s="264" t="s">
        <v>262</v>
      </c>
      <c r="O25" s="80"/>
      <c r="P25" s="298">
        <v>40</v>
      </c>
      <c r="Q25" s="298">
        <v>40</v>
      </c>
      <c r="R25" s="298">
        <v>40</v>
      </c>
      <c r="S25" s="298">
        <v>43</v>
      </c>
      <c r="T25" s="298">
        <v>43</v>
      </c>
      <c r="U25" s="298">
        <v>46</v>
      </c>
      <c r="V25" s="298">
        <v>46</v>
      </c>
      <c r="W25" s="298">
        <v>49</v>
      </c>
      <c r="X25" s="298">
        <v>49</v>
      </c>
      <c r="Y25" s="298">
        <v>52</v>
      </c>
      <c r="Z25" s="80"/>
      <c r="AA25" s="264" t="s">
        <v>262</v>
      </c>
      <c r="AB25" s="264" t="s">
        <v>262</v>
      </c>
      <c r="AC25" s="264" t="s">
        <v>262</v>
      </c>
      <c r="AD25" s="264" t="s">
        <v>262</v>
      </c>
      <c r="AE25" s="264" t="s">
        <v>262</v>
      </c>
      <c r="AF25" s="264" t="s">
        <v>262</v>
      </c>
      <c r="AG25" s="264" t="s">
        <v>262</v>
      </c>
      <c r="AH25" s="264" t="s">
        <v>262</v>
      </c>
      <c r="AI25" s="264" t="s">
        <v>262</v>
      </c>
      <c r="AJ25" s="264" t="s">
        <v>262</v>
      </c>
      <c r="AK25" s="80"/>
      <c r="AL25" s="46" t="s">
        <v>11</v>
      </c>
      <c r="AM25" s="146" t="s">
        <v>200</v>
      </c>
    </row>
    <row r="26" spans="2:39" ht="14.1" customHeight="1">
      <c r="B26" s="335"/>
      <c r="C26" s="322"/>
      <c r="D26" s="77" t="s">
        <v>90</v>
      </c>
      <c r="E26" s="298">
        <v>55</v>
      </c>
      <c r="F26" s="298">
        <v>55</v>
      </c>
      <c r="G26" s="298">
        <v>55</v>
      </c>
      <c r="H26" s="298">
        <v>60</v>
      </c>
      <c r="I26" s="298">
        <v>60</v>
      </c>
      <c r="J26" s="298">
        <v>65</v>
      </c>
      <c r="K26" s="298">
        <v>65</v>
      </c>
      <c r="L26" s="264" t="s">
        <v>262</v>
      </c>
      <c r="M26" s="264" t="s">
        <v>262</v>
      </c>
      <c r="N26" s="264" t="s">
        <v>262</v>
      </c>
      <c r="O26" s="80"/>
      <c r="P26" s="298">
        <v>44</v>
      </c>
      <c r="Q26" s="298">
        <v>44</v>
      </c>
      <c r="R26" s="298">
        <v>44</v>
      </c>
      <c r="S26" s="298">
        <v>47</v>
      </c>
      <c r="T26" s="298">
        <v>47</v>
      </c>
      <c r="U26" s="298">
        <v>50</v>
      </c>
      <c r="V26" s="298">
        <v>50</v>
      </c>
      <c r="W26" s="298">
        <v>53</v>
      </c>
      <c r="X26" s="298">
        <v>53</v>
      </c>
      <c r="Y26" s="298">
        <v>56</v>
      </c>
      <c r="Z26" s="80"/>
      <c r="AA26" s="264" t="s">
        <v>262</v>
      </c>
      <c r="AB26" s="264" t="s">
        <v>262</v>
      </c>
      <c r="AC26" s="264" t="s">
        <v>262</v>
      </c>
      <c r="AD26" s="264" t="s">
        <v>262</v>
      </c>
      <c r="AE26" s="264" t="s">
        <v>262</v>
      </c>
      <c r="AF26" s="264" t="s">
        <v>262</v>
      </c>
      <c r="AG26" s="264" t="s">
        <v>262</v>
      </c>
      <c r="AH26" s="264" t="s">
        <v>262</v>
      </c>
      <c r="AI26" s="264" t="s">
        <v>262</v>
      </c>
      <c r="AJ26" s="264" t="s">
        <v>262</v>
      </c>
      <c r="AK26" s="80"/>
      <c r="AL26" s="46" t="s">
        <v>11</v>
      </c>
      <c r="AM26" s="146" t="s">
        <v>200</v>
      </c>
    </row>
    <row r="27" spans="2:39" ht="14.1" customHeight="1">
      <c r="B27" s="335" t="s">
        <v>348</v>
      </c>
      <c r="C27" s="322" t="s">
        <v>266</v>
      </c>
      <c r="D27" s="77" t="s">
        <v>89</v>
      </c>
      <c r="E27" s="297">
        <v>3</v>
      </c>
      <c r="F27" s="297">
        <v>3</v>
      </c>
      <c r="G27" s="297">
        <v>3</v>
      </c>
      <c r="H27" s="297">
        <v>3</v>
      </c>
      <c r="I27" s="297">
        <v>3</v>
      </c>
      <c r="J27" s="297">
        <v>3</v>
      </c>
      <c r="K27" s="297">
        <v>3</v>
      </c>
      <c r="L27" s="263" t="s">
        <v>262</v>
      </c>
      <c r="M27" s="263" t="s">
        <v>262</v>
      </c>
      <c r="N27" s="263" t="s">
        <v>262</v>
      </c>
      <c r="O27" s="80"/>
      <c r="P27" s="297">
        <v>3</v>
      </c>
      <c r="Q27" s="297">
        <v>3</v>
      </c>
      <c r="R27" s="297">
        <v>3</v>
      </c>
      <c r="S27" s="297">
        <v>3</v>
      </c>
      <c r="T27" s="297">
        <v>3</v>
      </c>
      <c r="U27" s="297">
        <v>3</v>
      </c>
      <c r="V27" s="297">
        <v>3</v>
      </c>
      <c r="W27" s="297">
        <v>3</v>
      </c>
      <c r="X27" s="297">
        <v>3</v>
      </c>
      <c r="Y27" s="297">
        <v>3</v>
      </c>
      <c r="Z27" s="80"/>
      <c r="AA27" s="263" t="s">
        <v>262</v>
      </c>
      <c r="AB27" s="263" t="s">
        <v>262</v>
      </c>
      <c r="AC27" s="263" t="s">
        <v>262</v>
      </c>
      <c r="AD27" s="263" t="s">
        <v>262</v>
      </c>
      <c r="AE27" s="263" t="s">
        <v>262</v>
      </c>
      <c r="AF27" s="263" t="s">
        <v>262</v>
      </c>
      <c r="AG27" s="263" t="s">
        <v>262</v>
      </c>
      <c r="AH27" s="263" t="s">
        <v>262</v>
      </c>
      <c r="AI27" s="263" t="s">
        <v>262</v>
      </c>
      <c r="AJ27" s="263" t="s">
        <v>262</v>
      </c>
      <c r="AK27" s="80"/>
      <c r="AL27" s="46" t="s">
        <v>11</v>
      </c>
      <c r="AM27" s="146" t="s">
        <v>200</v>
      </c>
    </row>
    <row r="28" spans="2:39" ht="14.1" customHeight="1">
      <c r="B28" s="335"/>
      <c r="C28" s="322"/>
      <c r="D28" s="77" t="s">
        <v>90</v>
      </c>
      <c r="E28" s="297">
        <v>3</v>
      </c>
      <c r="F28" s="297">
        <v>3</v>
      </c>
      <c r="G28" s="297">
        <v>3</v>
      </c>
      <c r="H28" s="297">
        <v>3</v>
      </c>
      <c r="I28" s="297">
        <v>3</v>
      </c>
      <c r="J28" s="297">
        <v>3</v>
      </c>
      <c r="K28" s="297">
        <v>3</v>
      </c>
      <c r="L28" s="263" t="s">
        <v>262</v>
      </c>
      <c r="M28" s="263" t="s">
        <v>262</v>
      </c>
      <c r="N28" s="263" t="s">
        <v>262</v>
      </c>
      <c r="O28" s="80"/>
      <c r="P28" s="297">
        <v>3</v>
      </c>
      <c r="Q28" s="297">
        <v>3</v>
      </c>
      <c r="R28" s="297">
        <v>3</v>
      </c>
      <c r="S28" s="297">
        <v>3</v>
      </c>
      <c r="T28" s="297">
        <v>3</v>
      </c>
      <c r="U28" s="297">
        <v>3</v>
      </c>
      <c r="V28" s="297">
        <v>3</v>
      </c>
      <c r="W28" s="297">
        <v>3</v>
      </c>
      <c r="X28" s="297">
        <v>3</v>
      </c>
      <c r="Y28" s="297">
        <v>3</v>
      </c>
      <c r="Z28" s="80"/>
      <c r="AA28" s="263" t="s">
        <v>262</v>
      </c>
      <c r="AB28" s="263" t="s">
        <v>262</v>
      </c>
      <c r="AC28" s="263" t="s">
        <v>262</v>
      </c>
      <c r="AD28" s="263" t="s">
        <v>262</v>
      </c>
      <c r="AE28" s="263" t="s">
        <v>262</v>
      </c>
      <c r="AF28" s="263" t="s">
        <v>262</v>
      </c>
      <c r="AG28" s="263" t="s">
        <v>262</v>
      </c>
      <c r="AH28" s="263" t="s">
        <v>262</v>
      </c>
      <c r="AI28" s="263" t="s">
        <v>262</v>
      </c>
      <c r="AJ28" s="263" t="s">
        <v>262</v>
      </c>
      <c r="AK28" s="80"/>
      <c r="AL28" s="46" t="s">
        <v>11</v>
      </c>
      <c r="AM28" s="146" t="s">
        <v>200</v>
      </c>
    </row>
    <row r="29" spans="2:39" ht="14.1" customHeight="1">
      <c r="B29" s="335" t="s">
        <v>181</v>
      </c>
      <c r="C29" s="326" t="s">
        <v>132</v>
      </c>
      <c r="D29" s="77" t="s">
        <v>91</v>
      </c>
      <c r="E29" s="298">
        <v>125</v>
      </c>
      <c r="F29" s="298">
        <v>135</v>
      </c>
      <c r="G29" s="298">
        <v>135</v>
      </c>
      <c r="H29" s="298">
        <v>145</v>
      </c>
      <c r="I29" s="298">
        <v>145</v>
      </c>
      <c r="J29" s="298">
        <v>170</v>
      </c>
      <c r="K29" s="298">
        <v>170</v>
      </c>
      <c r="L29" s="264" t="s">
        <v>262</v>
      </c>
      <c r="M29" s="264" t="s">
        <v>262</v>
      </c>
      <c r="N29" s="264" t="s">
        <v>262</v>
      </c>
      <c r="O29" s="80"/>
      <c r="P29" s="298">
        <v>100</v>
      </c>
      <c r="Q29" s="298">
        <v>100</v>
      </c>
      <c r="R29" s="298">
        <v>100</v>
      </c>
      <c r="S29" s="298">
        <v>110</v>
      </c>
      <c r="T29" s="298">
        <v>110</v>
      </c>
      <c r="U29" s="298">
        <v>121</v>
      </c>
      <c r="V29" s="298">
        <v>121</v>
      </c>
      <c r="W29" s="298">
        <v>132</v>
      </c>
      <c r="X29" s="298">
        <v>132</v>
      </c>
      <c r="Y29" s="298">
        <v>143</v>
      </c>
      <c r="Z29" s="80"/>
      <c r="AA29" s="264" t="s">
        <v>262</v>
      </c>
      <c r="AB29" s="264" t="s">
        <v>262</v>
      </c>
      <c r="AC29" s="264" t="s">
        <v>262</v>
      </c>
      <c r="AD29" s="264" t="s">
        <v>262</v>
      </c>
      <c r="AE29" s="264" t="s">
        <v>262</v>
      </c>
      <c r="AF29" s="264" t="s">
        <v>262</v>
      </c>
      <c r="AG29" s="264" t="s">
        <v>262</v>
      </c>
      <c r="AH29" s="264" t="s">
        <v>262</v>
      </c>
      <c r="AI29" s="264" t="s">
        <v>262</v>
      </c>
      <c r="AJ29" s="264" t="s">
        <v>262</v>
      </c>
      <c r="AK29" s="80"/>
      <c r="AL29" s="46" t="s">
        <v>11</v>
      </c>
      <c r="AM29" s="146" t="s">
        <v>200</v>
      </c>
    </row>
    <row r="30" spans="2:39" ht="14.1" customHeight="1">
      <c r="B30" s="335"/>
      <c r="C30" s="326"/>
      <c r="D30" s="77" t="s">
        <v>92</v>
      </c>
      <c r="E30" s="298">
        <v>125</v>
      </c>
      <c r="F30" s="298">
        <v>135</v>
      </c>
      <c r="G30" s="298">
        <v>135</v>
      </c>
      <c r="H30" s="298">
        <v>145</v>
      </c>
      <c r="I30" s="298">
        <v>145</v>
      </c>
      <c r="J30" s="298">
        <v>170</v>
      </c>
      <c r="K30" s="298">
        <v>170</v>
      </c>
      <c r="L30" s="264" t="s">
        <v>262</v>
      </c>
      <c r="M30" s="264" t="s">
        <v>262</v>
      </c>
      <c r="N30" s="264" t="s">
        <v>262</v>
      </c>
      <c r="O30" s="80"/>
      <c r="P30" s="298">
        <v>125</v>
      </c>
      <c r="Q30" s="298">
        <v>125</v>
      </c>
      <c r="R30" s="298">
        <v>125</v>
      </c>
      <c r="S30" s="298">
        <v>135</v>
      </c>
      <c r="T30" s="298">
        <v>135</v>
      </c>
      <c r="U30" s="298">
        <v>146</v>
      </c>
      <c r="V30" s="298">
        <v>146</v>
      </c>
      <c r="W30" s="298">
        <v>157</v>
      </c>
      <c r="X30" s="298">
        <v>157</v>
      </c>
      <c r="Y30" s="298">
        <v>168</v>
      </c>
      <c r="Z30" s="80"/>
      <c r="AA30" s="264" t="s">
        <v>262</v>
      </c>
      <c r="AB30" s="264" t="s">
        <v>262</v>
      </c>
      <c r="AC30" s="264" t="s">
        <v>262</v>
      </c>
      <c r="AD30" s="264" t="s">
        <v>262</v>
      </c>
      <c r="AE30" s="264" t="s">
        <v>262</v>
      </c>
      <c r="AF30" s="264" t="s">
        <v>262</v>
      </c>
      <c r="AG30" s="264" t="s">
        <v>262</v>
      </c>
      <c r="AH30" s="264" t="s">
        <v>262</v>
      </c>
      <c r="AI30" s="264" t="s">
        <v>262</v>
      </c>
      <c r="AJ30" s="264" t="s">
        <v>262</v>
      </c>
      <c r="AK30" s="80"/>
      <c r="AL30" s="46" t="s">
        <v>11</v>
      </c>
      <c r="AM30" s="146" t="s">
        <v>200</v>
      </c>
    </row>
    <row r="31" spans="2:39" ht="14.1" customHeight="1">
      <c r="B31" s="335"/>
      <c r="C31" s="326"/>
      <c r="D31" s="77" t="s">
        <v>90</v>
      </c>
      <c r="E31" s="298">
        <v>180</v>
      </c>
      <c r="F31" s="298">
        <v>195</v>
      </c>
      <c r="G31" s="298">
        <v>195</v>
      </c>
      <c r="H31" s="298">
        <v>205</v>
      </c>
      <c r="I31" s="298">
        <v>205</v>
      </c>
      <c r="J31" s="298">
        <v>225</v>
      </c>
      <c r="K31" s="298">
        <v>225</v>
      </c>
      <c r="L31" s="264" t="s">
        <v>262</v>
      </c>
      <c r="M31" s="264" t="s">
        <v>262</v>
      </c>
      <c r="N31" s="264" t="s">
        <v>262</v>
      </c>
      <c r="O31" s="80"/>
      <c r="P31" s="298">
        <v>225</v>
      </c>
      <c r="Q31" s="298">
        <v>225</v>
      </c>
      <c r="R31" s="298">
        <v>225</v>
      </c>
      <c r="S31" s="298">
        <v>243</v>
      </c>
      <c r="T31" s="298">
        <v>243</v>
      </c>
      <c r="U31" s="298">
        <v>263</v>
      </c>
      <c r="V31" s="298">
        <v>263</v>
      </c>
      <c r="W31" s="298">
        <v>283</v>
      </c>
      <c r="X31" s="298">
        <v>283</v>
      </c>
      <c r="Y31" s="298">
        <v>302</v>
      </c>
      <c r="Z31" s="80"/>
      <c r="AA31" s="264" t="s">
        <v>262</v>
      </c>
      <c r="AB31" s="264" t="s">
        <v>262</v>
      </c>
      <c r="AC31" s="264" t="s">
        <v>262</v>
      </c>
      <c r="AD31" s="264" t="s">
        <v>262</v>
      </c>
      <c r="AE31" s="264" t="s">
        <v>262</v>
      </c>
      <c r="AF31" s="264" t="s">
        <v>262</v>
      </c>
      <c r="AG31" s="264" t="s">
        <v>262</v>
      </c>
      <c r="AH31" s="264" t="s">
        <v>262</v>
      </c>
      <c r="AI31" s="264" t="s">
        <v>262</v>
      </c>
      <c r="AJ31" s="264" t="s">
        <v>262</v>
      </c>
      <c r="AK31" s="80"/>
      <c r="AL31" s="46" t="s">
        <v>11</v>
      </c>
      <c r="AM31" s="146" t="s">
        <v>200</v>
      </c>
    </row>
    <row r="32" spans="2:39" ht="14.1" customHeight="1">
      <c r="B32" s="335" t="s">
        <v>182</v>
      </c>
      <c r="C32" s="326" t="s">
        <v>133</v>
      </c>
      <c r="D32" s="77" t="s">
        <v>91</v>
      </c>
      <c r="E32" s="297">
        <v>140</v>
      </c>
      <c r="F32" s="297">
        <v>155</v>
      </c>
      <c r="G32" s="297">
        <v>155</v>
      </c>
      <c r="H32" s="297">
        <v>175</v>
      </c>
      <c r="I32" s="297">
        <v>175</v>
      </c>
      <c r="J32" s="297">
        <v>195</v>
      </c>
      <c r="K32" s="297">
        <v>195</v>
      </c>
      <c r="L32" s="263" t="s">
        <v>262</v>
      </c>
      <c r="M32" s="263" t="s">
        <v>262</v>
      </c>
      <c r="N32" s="263" t="s">
        <v>262</v>
      </c>
      <c r="O32" s="80"/>
      <c r="P32" s="297">
        <v>95</v>
      </c>
      <c r="Q32" s="297">
        <v>95</v>
      </c>
      <c r="R32" s="297">
        <v>95</v>
      </c>
      <c r="S32" s="297">
        <v>103</v>
      </c>
      <c r="T32" s="297">
        <v>103</v>
      </c>
      <c r="U32" s="297">
        <v>112</v>
      </c>
      <c r="V32" s="297">
        <v>112</v>
      </c>
      <c r="W32" s="297">
        <v>121</v>
      </c>
      <c r="X32" s="297">
        <v>121</v>
      </c>
      <c r="Y32" s="297">
        <v>130</v>
      </c>
      <c r="Z32" s="80"/>
      <c r="AA32" s="263" t="s">
        <v>262</v>
      </c>
      <c r="AB32" s="263" t="s">
        <v>262</v>
      </c>
      <c r="AC32" s="263" t="s">
        <v>262</v>
      </c>
      <c r="AD32" s="263" t="s">
        <v>262</v>
      </c>
      <c r="AE32" s="263" t="s">
        <v>262</v>
      </c>
      <c r="AF32" s="263" t="s">
        <v>262</v>
      </c>
      <c r="AG32" s="263" t="s">
        <v>262</v>
      </c>
      <c r="AH32" s="263" t="s">
        <v>262</v>
      </c>
      <c r="AI32" s="263" t="s">
        <v>262</v>
      </c>
      <c r="AJ32" s="263" t="s">
        <v>262</v>
      </c>
      <c r="AK32" s="80"/>
      <c r="AL32" s="46" t="s">
        <v>11</v>
      </c>
      <c r="AM32" s="146" t="s">
        <v>200</v>
      </c>
    </row>
    <row r="33" spans="2:39" ht="14.1" customHeight="1">
      <c r="B33" s="335"/>
      <c r="C33" s="326"/>
      <c r="D33" s="77" t="s">
        <v>92</v>
      </c>
      <c r="E33" s="297">
        <v>140</v>
      </c>
      <c r="F33" s="297">
        <v>155</v>
      </c>
      <c r="G33" s="297">
        <v>155</v>
      </c>
      <c r="H33" s="297">
        <v>175</v>
      </c>
      <c r="I33" s="297">
        <v>175</v>
      </c>
      <c r="J33" s="297">
        <v>195</v>
      </c>
      <c r="K33" s="297">
        <v>195</v>
      </c>
      <c r="L33" s="263" t="s">
        <v>262</v>
      </c>
      <c r="M33" s="263" t="s">
        <v>262</v>
      </c>
      <c r="N33" s="263" t="s">
        <v>262</v>
      </c>
      <c r="O33" s="80"/>
      <c r="P33" s="297">
        <v>115</v>
      </c>
      <c r="Q33" s="297">
        <v>115</v>
      </c>
      <c r="R33" s="297">
        <v>115</v>
      </c>
      <c r="S33" s="297">
        <v>123</v>
      </c>
      <c r="T33" s="297">
        <v>123</v>
      </c>
      <c r="U33" s="297">
        <v>132</v>
      </c>
      <c r="V33" s="297">
        <v>132</v>
      </c>
      <c r="W33" s="297">
        <v>141</v>
      </c>
      <c r="X33" s="297">
        <v>141</v>
      </c>
      <c r="Y33" s="297">
        <v>150</v>
      </c>
      <c r="Z33" s="80"/>
      <c r="AA33" s="263" t="s">
        <v>262</v>
      </c>
      <c r="AB33" s="263" t="s">
        <v>262</v>
      </c>
      <c r="AC33" s="263" t="s">
        <v>262</v>
      </c>
      <c r="AD33" s="263" t="s">
        <v>262</v>
      </c>
      <c r="AE33" s="263" t="s">
        <v>262</v>
      </c>
      <c r="AF33" s="263" t="s">
        <v>262</v>
      </c>
      <c r="AG33" s="263" t="s">
        <v>262</v>
      </c>
      <c r="AH33" s="263" t="s">
        <v>262</v>
      </c>
      <c r="AI33" s="263" t="s">
        <v>262</v>
      </c>
      <c r="AJ33" s="263" t="s">
        <v>262</v>
      </c>
      <c r="AK33" s="80"/>
      <c r="AL33" s="46" t="s">
        <v>11</v>
      </c>
      <c r="AM33" s="146" t="s">
        <v>200</v>
      </c>
    </row>
    <row r="34" spans="2:39" ht="14.1" customHeight="1">
      <c r="B34" s="335"/>
      <c r="C34" s="326"/>
      <c r="D34" s="77" t="s">
        <v>90</v>
      </c>
      <c r="E34" s="297">
        <v>220</v>
      </c>
      <c r="F34" s="297">
        <v>250</v>
      </c>
      <c r="G34" s="297">
        <v>250</v>
      </c>
      <c r="H34" s="297">
        <v>285</v>
      </c>
      <c r="I34" s="297">
        <v>285</v>
      </c>
      <c r="J34" s="297">
        <v>310</v>
      </c>
      <c r="K34" s="297">
        <v>310</v>
      </c>
      <c r="L34" s="263" t="s">
        <v>262</v>
      </c>
      <c r="M34" s="263" t="s">
        <v>262</v>
      </c>
      <c r="N34" s="263" t="s">
        <v>262</v>
      </c>
      <c r="O34" s="80"/>
      <c r="P34" s="297">
        <v>225</v>
      </c>
      <c r="Q34" s="297">
        <v>225</v>
      </c>
      <c r="R34" s="297">
        <v>225</v>
      </c>
      <c r="S34" s="297">
        <v>228</v>
      </c>
      <c r="T34" s="297">
        <v>228</v>
      </c>
      <c r="U34" s="297">
        <v>244</v>
      </c>
      <c r="V34" s="297">
        <v>244</v>
      </c>
      <c r="W34" s="297">
        <v>261</v>
      </c>
      <c r="X34" s="297">
        <v>261</v>
      </c>
      <c r="Y34" s="297">
        <v>278</v>
      </c>
      <c r="Z34" s="80"/>
      <c r="AA34" s="263" t="s">
        <v>262</v>
      </c>
      <c r="AB34" s="263" t="s">
        <v>262</v>
      </c>
      <c r="AC34" s="263" t="s">
        <v>262</v>
      </c>
      <c r="AD34" s="263" t="s">
        <v>262</v>
      </c>
      <c r="AE34" s="263" t="s">
        <v>262</v>
      </c>
      <c r="AF34" s="263" t="s">
        <v>262</v>
      </c>
      <c r="AG34" s="263" t="s">
        <v>262</v>
      </c>
      <c r="AH34" s="263" t="s">
        <v>262</v>
      </c>
      <c r="AI34" s="263" t="s">
        <v>262</v>
      </c>
      <c r="AJ34" s="263" t="s">
        <v>262</v>
      </c>
      <c r="AK34" s="80"/>
      <c r="AL34" s="46" t="s">
        <v>11</v>
      </c>
      <c r="AM34" s="146" t="s">
        <v>200</v>
      </c>
    </row>
    <row r="35" spans="2:39" ht="14.1" customHeight="1">
      <c r="B35" s="335" t="s">
        <v>315</v>
      </c>
      <c r="C35" s="322" t="s">
        <v>134</v>
      </c>
      <c r="D35" s="77" t="s">
        <v>89</v>
      </c>
      <c r="E35" s="298">
        <v>170</v>
      </c>
      <c r="F35" s="298">
        <v>170</v>
      </c>
      <c r="G35" s="298">
        <v>170</v>
      </c>
      <c r="H35" s="298">
        <v>175</v>
      </c>
      <c r="I35" s="298">
        <v>175</v>
      </c>
      <c r="J35" s="298">
        <v>175</v>
      </c>
      <c r="K35" s="298">
        <v>175</v>
      </c>
      <c r="L35" s="264" t="s">
        <v>262</v>
      </c>
      <c r="M35" s="264" t="s">
        <v>262</v>
      </c>
      <c r="N35" s="264" t="s">
        <v>262</v>
      </c>
      <c r="O35" s="80"/>
      <c r="P35" s="298">
        <v>250</v>
      </c>
      <c r="Q35" s="298">
        <v>250</v>
      </c>
      <c r="R35" s="298">
        <v>250</v>
      </c>
      <c r="S35" s="298">
        <v>250</v>
      </c>
      <c r="T35" s="298">
        <v>250</v>
      </c>
      <c r="U35" s="298">
        <v>250</v>
      </c>
      <c r="V35" s="298">
        <v>250</v>
      </c>
      <c r="W35" s="298">
        <v>250</v>
      </c>
      <c r="X35" s="298">
        <v>250</v>
      </c>
      <c r="Y35" s="298">
        <v>250</v>
      </c>
      <c r="Z35" s="80"/>
      <c r="AA35" s="264" t="s">
        <v>262</v>
      </c>
      <c r="AB35" s="264" t="s">
        <v>262</v>
      </c>
      <c r="AC35" s="264" t="s">
        <v>262</v>
      </c>
      <c r="AD35" s="264" t="s">
        <v>262</v>
      </c>
      <c r="AE35" s="264" t="s">
        <v>262</v>
      </c>
      <c r="AF35" s="264" t="s">
        <v>262</v>
      </c>
      <c r="AG35" s="264" t="s">
        <v>262</v>
      </c>
      <c r="AH35" s="264" t="s">
        <v>262</v>
      </c>
      <c r="AI35" s="264" t="s">
        <v>262</v>
      </c>
      <c r="AJ35" s="264" t="s">
        <v>262</v>
      </c>
      <c r="AK35" s="80"/>
      <c r="AL35" s="46" t="s">
        <v>11</v>
      </c>
      <c r="AM35" s="146" t="s">
        <v>200</v>
      </c>
    </row>
    <row r="36" spans="2:39" ht="14.1" customHeight="1">
      <c r="B36" s="335"/>
      <c r="C36" s="322"/>
      <c r="D36" s="77" t="s">
        <v>90</v>
      </c>
      <c r="E36" s="298">
        <v>170</v>
      </c>
      <c r="F36" s="298">
        <v>170</v>
      </c>
      <c r="G36" s="298">
        <v>170</v>
      </c>
      <c r="H36" s="298">
        <v>175</v>
      </c>
      <c r="I36" s="298">
        <v>175</v>
      </c>
      <c r="J36" s="298">
        <v>175</v>
      </c>
      <c r="K36" s="298">
        <v>175</v>
      </c>
      <c r="L36" s="264" t="s">
        <v>262</v>
      </c>
      <c r="M36" s="264" t="s">
        <v>262</v>
      </c>
      <c r="N36" s="264" t="s">
        <v>262</v>
      </c>
      <c r="O36" s="80"/>
      <c r="P36" s="298">
        <v>280</v>
      </c>
      <c r="Q36" s="298">
        <v>280</v>
      </c>
      <c r="R36" s="298">
        <v>280</v>
      </c>
      <c r="S36" s="298">
        <v>280</v>
      </c>
      <c r="T36" s="298">
        <v>280</v>
      </c>
      <c r="U36" s="298">
        <v>280</v>
      </c>
      <c r="V36" s="298">
        <v>280</v>
      </c>
      <c r="W36" s="298">
        <v>280</v>
      </c>
      <c r="X36" s="298">
        <v>280</v>
      </c>
      <c r="Y36" s="298">
        <v>280</v>
      </c>
      <c r="Z36" s="80"/>
      <c r="AA36" s="264" t="s">
        <v>262</v>
      </c>
      <c r="AB36" s="264" t="s">
        <v>262</v>
      </c>
      <c r="AC36" s="264" t="s">
        <v>262</v>
      </c>
      <c r="AD36" s="264" t="s">
        <v>262</v>
      </c>
      <c r="AE36" s="264" t="s">
        <v>262</v>
      </c>
      <c r="AF36" s="264" t="s">
        <v>262</v>
      </c>
      <c r="AG36" s="264" t="s">
        <v>262</v>
      </c>
      <c r="AH36" s="264" t="s">
        <v>262</v>
      </c>
      <c r="AI36" s="264" t="s">
        <v>262</v>
      </c>
      <c r="AJ36" s="264" t="s">
        <v>262</v>
      </c>
      <c r="AK36" s="80"/>
      <c r="AL36" s="46" t="s">
        <v>11</v>
      </c>
      <c r="AM36" s="146" t="s">
        <v>200</v>
      </c>
    </row>
    <row r="37" spans="2:39" ht="14.1" customHeight="1">
      <c r="B37" s="335" t="s">
        <v>316</v>
      </c>
      <c r="C37" s="322" t="s">
        <v>134</v>
      </c>
      <c r="D37" s="77" t="s">
        <v>89</v>
      </c>
      <c r="E37" s="297">
        <v>22</v>
      </c>
      <c r="F37" s="297">
        <v>22</v>
      </c>
      <c r="G37" s="297">
        <v>22</v>
      </c>
      <c r="H37" s="297">
        <v>22</v>
      </c>
      <c r="I37" s="297">
        <v>22</v>
      </c>
      <c r="J37" s="297">
        <v>22</v>
      </c>
      <c r="K37" s="297">
        <v>22</v>
      </c>
      <c r="L37" s="263" t="s">
        <v>262</v>
      </c>
      <c r="M37" s="263" t="s">
        <v>262</v>
      </c>
      <c r="N37" s="263" t="s">
        <v>262</v>
      </c>
      <c r="O37" s="80"/>
      <c r="P37" s="297">
        <v>28</v>
      </c>
      <c r="Q37" s="297">
        <v>28</v>
      </c>
      <c r="R37" s="297">
        <v>28</v>
      </c>
      <c r="S37" s="297">
        <v>28</v>
      </c>
      <c r="T37" s="297">
        <v>28</v>
      </c>
      <c r="U37" s="297">
        <v>28</v>
      </c>
      <c r="V37" s="297">
        <v>28</v>
      </c>
      <c r="W37" s="297">
        <v>28</v>
      </c>
      <c r="X37" s="297">
        <v>28</v>
      </c>
      <c r="Y37" s="297">
        <v>28</v>
      </c>
      <c r="Z37" s="80"/>
      <c r="AA37" s="263" t="s">
        <v>262</v>
      </c>
      <c r="AB37" s="263" t="s">
        <v>262</v>
      </c>
      <c r="AC37" s="263" t="s">
        <v>262</v>
      </c>
      <c r="AD37" s="263" t="s">
        <v>262</v>
      </c>
      <c r="AE37" s="263" t="s">
        <v>262</v>
      </c>
      <c r="AF37" s="263" t="s">
        <v>262</v>
      </c>
      <c r="AG37" s="263" t="s">
        <v>262</v>
      </c>
      <c r="AH37" s="263" t="s">
        <v>262</v>
      </c>
      <c r="AI37" s="263" t="s">
        <v>262</v>
      </c>
      <c r="AJ37" s="263" t="s">
        <v>262</v>
      </c>
      <c r="AK37" s="80"/>
      <c r="AL37" s="46" t="s">
        <v>11</v>
      </c>
      <c r="AM37" s="146" t="s">
        <v>200</v>
      </c>
    </row>
    <row r="38" spans="2:39" ht="14.1" customHeight="1">
      <c r="B38" s="335"/>
      <c r="C38" s="322"/>
      <c r="D38" s="77" t="s">
        <v>90</v>
      </c>
      <c r="E38" s="297">
        <v>25</v>
      </c>
      <c r="F38" s="297">
        <v>25</v>
      </c>
      <c r="G38" s="297">
        <v>25</v>
      </c>
      <c r="H38" s="297">
        <v>25</v>
      </c>
      <c r="I38" s="297">
        <v>25</v>
      </c>
      <c r="J38" s="297">
        <v>25</v>
      </c>
      <c r="K38" s="297">
        <v>25</v>
      </c>
      <c r="L38" s="263" t="s">
        <v>262</v>
      </c>
      <c r="M38" s="263" t="s">
        <v>262</v>
      </c>
      <c r="N38" s="263" t="s">
        <v>262</v>
      </c>
      <c r="O38" s="80"/>
      <c r="P38" s="297">
        <v>28</v>
      </c>
      <c r="Q38" s="297">
        <v>28</v>
      </c>
      <c r="R38" s="297">
        <v>28</v>
      </c>
      <c r="S38" s="297">
        <v>28</v>
      </c>
      <c r="T38" s="297">
        <v>28</v>
      </c>
      <c r="U38" s="297">
        <v>28</v>
      </c>
      <c r="V38" s="297">
        <v>28</v>
      </c>
      <c r="W38" s="297">
        <v>28</v>
      </c>
      <c r="X38" s="297">
        <v>28</v>
      </c>
      <c r="Y38" s="297">
        <v>28</v>
      </c>
      <c r="Z38" s="80"/>
      <c r="AA38" s="263" t="s">
        <v>262</v>
      </c>
      <c r="AB38" s="263" t="s">
        <v>262</v>
      </c>
      <c r="AC38" s="263" t="s">
        <v>262</v>
      </c>
      <c r="AD38" s="263" t="s">
        <v>262</v>
      </c>
      <c r="AE38" s="263" t="s">
        <v>262</v>
      </c>
      <c r="AF38" s="263" t="s">
        <v>262</v>
      </c>
      <c r="AG38" s="263" t="s">
        <v>262</v>
      </c>
      <c r="AH38" s="263" t="s">
        <v>262</v>
      </c>
      <c r="AI38" s="263" t="s">
        <v>262</v>
      </c>
      <c r="AJ38" s="263" t="s">
        <v>262</v>
      </c>
      <c r="AK38" s="80"/>
      <c r="AL38" s="46" t="s">
        <v>11</v>
      </c>
      <c r="AM38" s="146" t="s">
        <v>200</v>
      </c>
    </row>
    <row r="39" spans="2:39" ht="15">
      <c r="B39" s="323"/>
      <c r="C39" s="324"/>
      <c r="D39" s="325"/>
      <c r="E39" s="124"/>
      <c r="F39" s="124"/>
      <c r="G39" s="124"/>
      <c r="H39" s="124"/>
      <c r="I39" s="124"/>
      <c r="J39" s="124"/>
      <c r="K39" s="124"/>
      <c r="L39" s="124"/>
      <c r="M39" s="81"/>
      <c r="N39" s="82"/>
      <c r="O39" s="80"/>
      <c r="P39" s="124"/>
      <c r="Q39" s="124"/>
      <c r="R39" s="124"/>
      <c r="S39" s="124"/>
      <c r="T39" s="124"/>
      <c r="U39" s="124"/>
      <c r="V39" s="124"/>
      <c r="W39" s="124"/>
      <c r="X39" s="124"/>
      <c r="Y39" s="81"/>
      <c r="Z39" s="80"/>
      <c r="AA39" s="124"/>
      <c r="AB39" s="124"/>
      <c r="AC39" s="124"/>
      <c r="AD39" s="124"/>
      <c r="AE39" s="124"/>
      <c r="AF39" s="124"/>
      <c r="AG39" s="124"/>
      <c r="AH39" s="124"/>
      <c r="AI39" s="81"/>
      <c r="AJ39" s="82"/>
      <c r="AK39" s="80"/>
      <c r="AL39" s="47"/>
      <c r="AM39" s="146"/>
    </row>
    <row r="40" spans="2:39" ht="30.75" customHeight="1">
      <c r="B40" s="61"/>
      <c r="C40" s="344" t="s">
        <v>161</v>
      </c>
      <c r="D40" s="344"/>
      <c r="E40" s="225">
        <f>2000/E5-0.001</f>
        <v>1.0708113612004289</v>
      </c>
      <c r="F40" s="225">
        <f>2000/F5-0.001</f>
        <v>0.93664650726676046</v>
      </c>
      <c r="G40" s="225">
        <f>2000/G5-0.001</f>
        <v>0.93664650726676046</v>
      </c>
      <c r="H40" s="225">
        <f>2000/H5</f>
        <v>0.83333333333333337</v>
      </c>
      <c r="I40" s="225">
        <f>2000/I5</f>
        <v>0.83333333333333337</v>
      </c>
      <c r="J40" s="225">
        <f>2000/J5</f>
        <v>0.75018754688672173</v>
      </c>
      <c r="K40" s="225">
        <f>2000/K5</f>
        <v>0.75018754688672173</v>
      </c>
      <c r="L40" s="225">
        <f t="shared" ref="L40:N40" si="0">2000/L5</f>
        <v>0.68189566996249573</v>
      </c>
      <c r="M40" s="225">
        <f t="shared" si="0"/>
        <v>0.68189566996249573</v>
      </c>
      <c r="N40" s="225">
        <f t="shared" si="0"/>
        <v>0.625</v>
      </c>
      <c r="O40" s="79"/>
      <c r="P40" s="225">
        <f>2000/P5-0.001</f>
        <v>1.0708113612004289</v>
      </c>
      <c r="Q40" s="225">
        <f>2000/Q5-0.001</f>
        <v>0.93664650726676046</v>
      </c>
      <c r="R40" s="225">
        <f>2000/R5-0.001</f>
        <v>0.93664650726676046</v>
      </c>
      <c r="S40" s="225">
        <f t="shared" ref="S40:Y40" si="1">2000/S5</f>
        <v>0.83333333333333337</v>
      </c>
      <c r="T40" s="225">
        <f t="shared" si="1"/>
        <v>0.83333333333333337</v>
      </c>
      <c r="U40" s="225">
        <f t="shared" si="1"/>
        <v>0.75018754688672173</v>
      </c>
      <c r="V40" s="225">
        <f t="shared" si="1"/>
        <v>0.75018754688672173</v>
      </c>
      <c r="W40" s="225">
        <f t="shared" si="1"/>
        <v>0.68189566996249573</v>
      </c>
      <c r="X40" s="225">
        <f t="shared" si="1"/>
        <v>0.68189566996249573</v>
      </c>
      <c r="Y40" s="225">
        <f t="shared" si="1"/>
        <v>0.625</v>
      </c>
      <c r="Z40" s="79"/>
      <c r="AA40" s="225">
        <f>2000/AA5-0.001</f>
        <v>1.0708113612004289</v>
      </c>
      <c r="AB40" s="225">
        <f>2000/AB5-0.001</f>
        <v>0.93664650726676046</v>
      </c>
      <c r="AC40" s="225">
        <f>2000/AC5-0.001</f>
        <v>0.93664650726676046</v>
      </c>
      <c r="AD40" s="225">
        <f t="shared" ref="AD40:AJ40" si="2">2000/AD5</f>
        <v>0.83333333333333337</v>
      </c>
      <c r="AE40" s="225">
        <f t="shared" si="2"/>
        <v>0.83333333333333337</v>
      </c>
      <c r="AF40" s="225">
        <f t="shared" si="2"/>
        <v>0.75018754688672173</v>
      </c>
      <c r="AG40" s="225">
        <f t="shared" si="2"/>
        <v>0.75018754688672173</v>
      </c>
      <c r="AH40" s="225">
        <f t="shared" si="2"/>
        <v>0.68189566996249573</v>
      </c>
      <c r="AI40" s="225">
        <f t="shared" si="2"/>
        <v>0.68189566996249573</v>
      </c>
      <c r="AJ40" s="225">
        <f t="shared" si="2"/>
        <v>0.625</v>
      </c>
      <c r="AK40" s="79"/>
      <c r="AL40" s="46" t="s">
        <v>31</v>
      </c>
      <c r="AM40" s="146" t="s">
        <v>200</v>
      </c>
    </row>
    <row r="41" spans="2:39" ht="14.1" customHeight="1">
      <c r="B41" s="342" t="s">
        <v>247</v>
      </c>
      <c r="C41" s="332" t="s">
        <v>248</v>
      </c>
      <c r="D41" s="77" t="s">
        <v>89</v>
      </c>
      <c r="E41" s="78">
        <v>4.2</v>
      </c>
      <c r="F41" s="78">
        <v>3.7</v>
      </c>
      <c r="G41" s="78">
        <v>3.7</v>
      </c>
      <c r="H41" s="78">
        <v>3.3</v>
      </c>
      <c r="I41" s="78">
        <v>3.3</v>
      </c>
      <c r="J41" s="301">
        <v>3</v>
      </c>
      <c r="K41" s="301">
        <v>3</v>
      </c>
      <c r="L41" s="301">
        <v>2.7</v>
      </c>
      <c r="M41" s="301">
        <v>2.7</v>
      </c>
      <c r="N41" s="301">
        <v>2.5</v>
      </c>
      <c r="O41" s="79"/>
      <c r="P41" s="78">
        <v>4.2</v>
      </c>
      <c r="Q41" s="78">
        <v>3.7</v>
      </c>
      <c r="R41" s="78">
        <v>3.7</v>
      </c>
      <c r="S41" s="78">
        <v>3.3</v>
      </c>
      <c r="T41" s="78">
        <v>3.3</v>
      </c>
      <c r="U41" s="301">
        <v>3</v>
      </c>
      <c r="V41" s="301">
        <v>3</v>
      </c>
      <c r="W41" s="301">
        <v>2.7</v>
      </c>
      <c r="X41" s="301">
        <v>2.7</v>
      </c>
      <c r="Y41" s="301">
        <v>2.5</v>
      </c>
      <c r="Z41" s="79"/>
      <c r="AA41" s="78">
        <v>4.2</v>
      </c>
      <c r="AB41" s="78">
        <v>3.7</v>
      </c>
      <c r="AC41" s="78">
        <v>3.7</v>
      </c>
      <c r="AD41" s="78">
        <v>3.3</v>
      </c>
      <c r="AE41" s="78">
        <v>3.3</v>
      </c>
      <c r="AF41" s="301">
        <v>3</v>
      </c>
      <c r="AG41" s="301">
        <v>3</v>
      </c>
      <c r="AH41" s="301">
        <v>2.7</v>
      </c>
      <c r="AI41" s="301">
        <v>2.7</v>
      </c>
      <c r="AJ41" s="301">
        <v>2.5</v>
      </c>
      <c r="AK41" s="79"/>
      <c r="AL41" s="46" t="s">
        <v>31</v>
      </c>
      <c r="AM41" s="146" t="s">
        <v>200</v>
      </c>
    </row>
    <row r="42" spans="2:39" ht="14.1" customHeight="1">
      <c r="B42" s="343"/>
      <c r="C42" s="334"/>
      <c r="D42" s="77" t="s">
        <v>90</v>
      </c>
      <c r="E42" s="78">
        <v>5.3</v>
      </c>
      <c r="F42" s="78">
        <v>5.3</v>
      </c>
      <c r="G42" s="78">
        <v>5.3</v>
      </c>
      <c r="H42" s="78">
        <v>5.3</v>
      </c>
      <c r="I42" s="78">
        <v>5.3</v>
      </c>
      <c r="J42" s="301">
        <v>5.3</v>
      </c>
      <c r="K42" s="301">
        <v>5.3</v>
      </c>
      <c r="L42" s="301">
        <v>5.3</v>
      </c>
      <c r="M42" s="301">
        <v>5.3</v>
      </c>
      <c r="N42" s="301">
        <v>5.3</v>
      </c>
      <c r="O42" s="79"/>
      <c r="P42" s="78">
        <v>5.3</v>
      </c>
      <c r="Q42" s="78">
        <v>5.3</v>
      </c>
      <c r="R42" s="78">
        <v>5.3</v>
      </c>
      <c r="S42" s="78">
        <v>5.3</v>
      </c>
      <c r="T42" s="78">
        <v>5.3</v>
      </c>
      <c r="U42" s="301">
        <v>5.3</v>
      </c>
      <c r="V42" s="301">
        <v>5.3</v>
      </c>
      <c r="W42" s="301">
        <v>5.3</v>
      </c>
      <c r="X42" s="301">
        <v>5.3</v>
      </c>
      <c r="Y42" s="301">
        <v>5.3</v>
      </c>
      <c r="Z42" s="79"/>
      <c r="AA42" s="78" t="s">
        <v>246</v>
      </c>
      <c r="AB42" s="78">
        <v>5.3</v>
      </c>
      <c r="AC42" s="78">
        <v>5.3</v>
      </c>
      <c r="AD42" s="78">
        <v>5.3</v>
      </c>
      <c r="AE42" s="78">
        <v>5.3</v>
      </c>
      <c r="AF42" s="301">
        <v>5.3</v>
      </c>
      <c r="AG42" s="301">
        <v>5.3</v>
      </c>
      <c r="AH42" s="301">
        <v>5.3</v>
      </c>
      <c r="AI42" s="301">
        <v>5.3</v>
      </c>
      <c r="AJ42" s="301">
        <v>5.3</v>
      </c>
      <c r="AK42" s="79"/>
      <c r="AL42" s="46" t="s">
        <v>31</v>
      </c>
      <c r="AM42" s="146" t="s">
        <v>200</v>
      </c>
    </row>
    <row r="43" spans="2:39" ht="14.1" customHeight="1">
      <c r="B43" s="342" t="s">
        <v>249</v>
      </c>
      <c r="C43" s="332" t="s">
        <v>250</v>
      </c>
      <c r="D43" s="77" t="s">
        <v>89</v>
      </c>
      <c r="E43" s="78">
        <v>5.3</v>
      </c>
      <c r="F43" s="78">
        <v>5.3</v>
      </c>
      <c r="G43" s="78">
        <v>5.3</v>
      </c>
      <c r="H43" s="78">
        <v>4.9000000000000004</v>
      </c>
      <c r="I43" s="78">
        <v>4.9000000000000004</v>
      </c>
      <c r="J43" s="301">
        <v>4.9000000000000004</v>
      </c>
      <c r="K43" s="301">
        <v>4.9000000000000004</v>
      </c>
      <c r="L43" s="301">
        <v>4.9000000000000004</v>
      </c>
      <c r="M43" s="301">
        <v>4.9000000000000004</v>
      </c>
      <c r="N43" s="301">
        <v>4.9000000000000004</v>
      </c>
      <c r="O43" s="79"/>
      <c r="P43" s="78">
        <v>5.3</v>
      </c>
      <c r="Q43" s="78">
        <v>5.3</v>
      </c>
      <c r="R43" s="78">
        <v>5.3</v>
      </c>
      <c r="S43" s="78">
        <v>4.9000000000000004</v>
      </c>
      <c r="T43" s="78">
        <v>4.9000000000000004</v>
      </c>
      <c r="U43" s="301">
        <v>4.9000000000000004</v>
      </c>
      <c r="V43" s="301">
        <v>4.9000000000000004</v>
      </c>
      <c r="W43" s="301">
        <v>4.9000000000000004</v>
      </c>
      <c r="X43" s="301">
        <v>4.9000000000000004</v>
      </c>
      <c r="Y43" s="301">
        <v>4.9000000000000004</v>
      </c>
      <c r="Z43" s="79"/>
      <c r="AA43" s="78" t="s">
        <v>246</v>
      </c>
      <c r="AB43" s="78">
        <v>5.3</v>
      </c>
      <c r="AC43" s="78">
        <v>5.3</v>
      </c>
      <c r="AD43" s="78">
        <v>4.9000000000000004</v>
      </c>
      <c r="AE43" s="78">
        <v>4.9000000000000004</v>
      </c>
      <c r="AF43" s="301">
        <v>4.9000000000000004</v>
      </c>
      <c r="AG43" s="301">
        <v>4.9000000000000004</v>
      </c>
      <c r="AH43" s="301">
        <v>4.9000000000000004</v>
      </c>
      <c r="AI43" s="301">
        <v>4.9000000000000004</v>
      </c>
      <c r="AJ43" s="301">
        <v>4.9000000000000004</v>
      </c>
      <c r="AK43" s="79"/>
      <c r="AL43" s="46" t="s">
        <v>31</v>
      </c>
      <c r="AM43" s="146" t="s">
        <v>200</v>
      </c>
    </row>
    <row r="44" spans="2:39" ht="14.1" customHeight="1">
      <c r="B44" s="343"/>
      <c r="C44" s="334"/>
      <c r="D44" s="77" t="s">
        <v>90</v>
      </c>
      <c r="E44" s="78">
        <v>6.4</v>
      </c>
      <c r="F44" s="78">
        <v>6.4</v>
      </c>
      <c r="G44" s="78">
        <v>6.4</v>
      </c>
      <c r="H44" s="78">
        <v>6.4</v>
      </c>
      <c r="I44" s="78">
        <v>6.4</v>
      </c>
      <c r="J44" s="301">
        <v>6.4</v>
      </c>
      <c r="K44" s="301">
        <v>6.4</v>
      </c>
      <c r="L44" s="301">
        <v>6.4</v>
      </c>
      <c r="M44" s="301">
        <v>6.4</v>
      </c>
      <c r="N44" s="301">
        <v>6.4</v>
      </c>
      <c r="O44" s="79"/>
      <c r="P44" s="78">
        <v>6.4</v>
      </c>
      <c r="Q44" s="78">
        <v>6.4</v>
      </c>
      <c r="R44" s="78">
        <v>6.4</v>
      </c>
      <c r="S44" s="78">
        <v>6.4</v>
      </c>
      <c r="T44" s="78">
        <v>6.4</v>
      </c>
      <c r="U44" s="301">
        <v>6.4</v>
      </c>
      <c r="V44" s="301">
        <v>6.4</v>
      </c>
      <c r="W44" s="301">
        <v>6.4</v>
      </c>
      <c r="X44" s="301">
        <v>6.4</v>
      </c>
      <c r="Y44" s="301">
        <v>6.4</v>
      </c>
      <c r="Z44" s="79"/>
      <c r="AA44" s="78">
        <v>6.4</v>
      </c>
      <c r="AB44" s="78">
        <v>6.4</v>
      </c>
      <c r="AC44" s="78">
        <v>6.4</v>
      </c>
      <c r="AD44" s="78">
        <v>6.4</v>
      </c>
      <c r="AE44" s="78">
        <v>6.4</v>
      </c>
      <c r="AF44" s="301">
        <v>6.4</v>
      </c>
      <c r="AG44" s="301">
        <v>6.4</v>
      </c>
      <c r="AH44" s="301">
        <v>6.4</v>
      </c>
      <c r="AI44" s="301">
        <v>6.4</v>
      </c>
      <c r="AJ44" s="301">
        <v>6.4</v>
      </c>
      <c r="AK44" s="79"/>
      <c r="AL44" s="46" t="s">
        <v>31</v>
      </c>
      <c r="AM44" s="146" t="s">
        <v>200</v>
      </c>
    </row>
    <row r="45" spans="2:39" ht="18" customHeight="1">
      <c r="B45" s="83" t="s">
        <v>162</v>
      </c>
      <c r="C45" s="326" t="s">
        <v>135</v>
      </c>
      <c r="D45" s="326"/>
      <c r="E45" s="78">
        <v>47.9</v>
      </c>
      <c r="F45" s="78">
        <v>48</v>
      </c>
      <c r="G45" s="78">
        <v>47.06</v>
      </c>
      <c r="H45" s="78">
        <v>46.16</v>
      </c>
      <c r="I45" s="78">
        <v>45.32</v>
      </c>
      <c r="J45" s="301">
        <v>46.16</v>
      </c>
      <c r="K45" s="301">
        <v>45.5</v>
      </c>
      <c r="L45" s="301">
        <v>46.32</v>
      </c>
      <c r="M45" s="301">
        <v>45.64</v>
      </c>
      <c r="N45" s="301">
        <v>45.75</v>
      </c>
      <c r="O45" s="79"/>
      <c r="P45" s="78">
        <v>47.9</v>
      </c>
      <c r="Q45" s="78">
        <v>48</v>
      </c>
      <c r="R45" s="78">
        <v>47.06</v>
      </c>
      <c r="S45" s="78">
        <v>46.16</v>
      </c>
      <c r="T45" s="78">
        <v>45.32</v>
      </c>
      <c r="U45" s="301">
        <v>46.16</v>
      </c>
      <c r="V45" s="301">
        <v>45.5</v>
      </c>
      <c r="W45" s="301">
        <v>46.32</v>
      </c>
      <c r="X45" s="301">
        <v>45.64</v>
      </c>
      <c r="Y45" s="301">
        <v>45.75</v>
      </c>
      <c r="Z45" s="79"/>
      <c r="AA45" s="78">
        <v>47.9</v>
      </c>
      <c r="AB45" s="78">
        <v>48</v>
      </c>
      <c r="AC45" s="78">
        <v>47.06</v>
      </c>
      <c r="AD45" s="78">
        <v>46.16</v>
      </c>
      <c r="AE45" s="78">
        <v>45.32</v>
      </c>
      <c r="AF45" s="301">
        <v>46.16</v>
      </c>
      <c r="AG45" s="301">
        <v>45.5</v>
      </c>
      <c r="AH45" s="301">
        <v>46.32</v>
      </c>
      <c r="AI45" s="301">
        <v>45.64</v>
      </c>
      <c r="AJ45" s="301">
        <v>45.75</v>
      </c>
      <c r="AK45" s="79"/>
      <c r="AL45" s="46" t="s">
        <v>31</v>
      </c>
      <c r="AM45" s="146" t="s">
        <v>200</v>
      </c>
    </row>
    <row r="46" spans="2:39" ht="18" customHeight="1">
      <c r="B46" s="83" t="s">
        <v>163</v>
      </c>
      <c r="C46" s="344" t="s">
        <v>164</v>
      </c>
      <c r="D46" s="326"/>
      <c r="E46" s="78">
        <v>34</v>
      </c>
      <c r="F46" s="78">
        <v>33</v>
      </c>
      <c r="G46" s="78">
        <v>33</v>
      </c>
      <c r="H46" s="78">
        <v>32</v>
      </c>
      <c r="I46" s="78">
        <v>32</v>
      </c>
      <c r="J46" s="301">
        <v>32</v>
      </c>
      <c r="K46" s="301">
        <v>32</v>
      </c>
      <c r="L46" s="301">
        <v>32</v>
      </c>
      <c r="M46" s="301">
        <v>32</v>
      </c>
      <c r="N46" s="301">
        <v>32</v>
      </c>
      <c r="O46" s="79"/>
      <c r="P46" s="78">
        <v>34</v>
      </c>
      <c r="Q46" s="78">
        <v>33</v>
      </c>
      <c r="R46" s="78">
        <v>33</v>
      </c>
      <c r="S46" s="78">
        <v>32</v>
      </c>
      <c r="T46" s="78">
        <v>32</v>
      </c>
      <c r="U46" s="301">
        <v>32</v>
      </c>
      <c r="V46" s="301">
        <v>32</v>
      </c>
      <c r="W46" s="301">
        <v>32</v>
      </c>
      <c r="X46" s="301">
        <v>32</v>
      </c>
      <c r="Y46" s="301">
        <v>32</v>
      </c>
      <c r="Z46" s="79"/>
      <c r="AA46" s="78">
        <v>34</v>
      </c>
      <c r="AB46" s="78">
        <v>33</v>
      </c>
      <c r="AC46" s="78">
        <v>33</v>
      </c>
      <c r="AD46" s="78">
        <v>32</v>
      </c>
      <c r="AE46" s="78">
        <v>32</v>
      </c>
      <c r="AF46" s="301">
        <v>32</v>
      </c>
      <c r="AG46" s="301">
        <v>32</v>
      </c>
      <c r="AH46" s="301">
        <v>32</v>
      </c>
      <c r="AI46" s="301">
        <v>32</v>
      </c>
      <c r="AJ46" s="301">
        <v>32</v>
      </c>
      <c r="AK46" s="79"/>
      <c r="AL46" s="46" t="s">
        <v>31</v>
      </c>
      <c r="AM46" s="146" t="s">
        <v>200</v>
      </c>
    </row>
    <row r="47" spans="2:39" ht="18" customHeight="1">
      <c r="B47" s="83" t="s">
        <v>165</v>
      </c>
      <c r="C47" s="326" t="s">
        <v>136</v>
      </c>
      <c r="D47" s="326"/>
      <c r="E47" s="78">
        <v>260</v>
      </c>
      <c r="F47" s="78">
        <v>260</v>
      </c>
      <c r="G47" s="78">
        <v>260</v>
      </c>
      <c r="H47" s="78">
        <v>260</v>
      </c>
      <c r="I47" s="78">
        <v>260</v>
      </c>
      <c r="J47" s="301">
        <v>260</v>
      </c>
      <c r="K47" s="301">
        <v>260</v>
      </c>
      <c r="L47" s="301">
        <v>260</v>
      </c>
      <c r="M47" s="301">
        <v>260</v>
      </c>
      <c r="N47" s="301">
        <v>260</v>
      </c>
      <c r="O47" s="75"/>
      <c r="P47" s="78">
        <v>350</v>
      </c>
      <c r="Q47" s="78">
        <v>350</v>
      </c>
      <c r="R47" s="78">
        <v>350</v>
      </c>
      <c r="S47" s="78">
        <v>350</v>
      </c>
      <c r="T47" s="78">
        <v>350</v>
      </c>
      <c r="U47" s="78">
        <v>350</v>
      </c>
      <c r="V47" s="78">
        <v>350</v>
      </c>
      <c r="W47" s="78">
        <v>350</v>
      </c>
      <c r="X47" s="78">
        <v>350</v>
      </c>
      <c r="Y47" s="78">
        <v>350</v>
      </c>
      <c r="Z47" s="75"/>
      <c r="AA47" s="263" t="s">
        <v>262</v>
      </c>
      <c r="AB47" s="263" t="s">
        <v>262</v>
      </c>
      <c r="AC47" s="263" t="s">
        <v>262</v>
      </c>
      <c r="AD47" s="263" t="s">
        <v>262</v>
      </c>
      <c r="AE47" s="263" t="s">
        <v>262</v>
      </c>
      <c r="AF47" s="263" t="s">
        <v>262</v>
      </c>
      <c r="AG47" s="263" t="s">
        <v>262</v>
      </c>
      <c r="AH47" s="263" t="s">
        <v>262</v>
      </c>
      <c r="AI47" s="263" t="s">
        <v>262</v>
      </c>
      <c r="AJ47" s="263" t="s">
        <v>262</v>
      </c>
      <c r="AK47" s="75"/>
      <c r="AL47" s="46" t="s">
        <v>31</v>
      </c>
      <c r="AM47" s="146" t="s">
        <v>200</v>
      </c>
    </row>
    <row r="48" spans="2:39" ht="18" customHeight="1">
      <c r="B48" s="83" t="s">
        <v>166</v>
      </c>
      <c r="C48" s="326" t="s">
        <v>83</v>
      </c>
      <c r="D48" s="326"/>
      <c r="E48" s="78">
        <v>7.8</v>
      </c>
      <c r="F48" s="78">
        <v>7.8</v>
      </c>
      <c r="G48" s="78">
        <v>7.8</v>
      </c>
      <c r="H48" s="78">
        <v>7.8</v>
      </c>
      <c r="I48" s="78">
        <v>7.8</v>
      </c>
      <c r="J48" s="301">
        <v>7.8</v>
      </c>
      <c r="K48" s="301">
        <v>7.8</v>
      </c>
      <c r="L48" s="301">
        <v>7.8</v>
      </c>
      <c r="M48" s="301">
        <v>7.8</v>
      </c>
      <c r="N48" s="301">
        <v>7.8</v>
      </c>
      <c r="O48" s="75"/>
      <c r="P48" s="78">
        <v>7.8</v>
      </c>
      <c r="Q48" s="78">
        <v>7.8</v>
      </c>
      <c r="R48" s="78">
        <v>7.8</v>
      </c>
      <c r="S48" s="78">
        <v>7.8</v>
      </c>
      <c r="T48" s="78">
        <v>7.8</v>
      </c>
      <c r="U48" s="301">
        <v>7.8</v>
      </c>
      <c r="V48" s="301">
        <v>7.8</v>
      </c>
      <c r="W48" s="301">
        <v>7.8</v>
      </c>
      <c r="X48" s="301">
        <v>7.8</v>
      </c>
      <c r="Y48" s="301">
        <v>7.8</v>
      </c>
      <c r="Z48" s="75"/>
      <c r="AA48" s="263" t="s">
        <v>262</v>
      </c>
      <c r="AB48" s="263" t="s">
        <v>262</v>
      </c>
      <c r="AC48" s="263" t="s">
        <v>262</v>
      </c>
      <c r="AD48" s="263" t="s">
        <v>262</v>
      </c>
      <c r="AE48" s="263" t="s">
        <v>262</v>
      </c>
      <c r="AF48" s="263" t="s">
        <v>262</v>
      </c>
      <c r="AG48" s="263" t="s">
        <v>262</v>
      </c>
      <c r="AH48" s="263" t="s">
        <v>262</v>
      </c>
      <c r="AI48" s="263" t="s">
        <v>262</v>
      </c>
      <c r="AJ48" s="263" t="s">
        <v>262</v>
      </c>
      <c r="AK48" s="75"/>
      <c r="AL48" s="46" t="s">
        <v>172</v>
      </c>
      <c r="AM48" s="146" t="s">
        <v>200</v>
      </c>
    </row>
    <row r="49" spans="2:39" ht="18" customHeight="1">
      <c r="B49" s="83" t="s">
        <v>183</v>
      </c>
      <c r="C49" s="326" t="s">
        <v>168</v>
      </c>
      <c r="D49" s="326"/>
      <c r="E49" s="225">
        <f t="shared" ref="E49:K49" si="3">E40</f>
        <v>1.0708113612004289</v>
      </c>
      <c r="F49" s="225">
        <f t="shared" si="3"/>
        <v>0.93664650726676046</v>
      </c>
      <c r="G49" s="225">
        <f t="shared" si="3"/>
        <v>0.93664650726676046</v>
      </c>
      <c r="H49" s="225">
        <f t="shared" si="3"/>
        <v>0.83333333333333337</v>
      </c>
      <c r="I49" s="225">
        <f t="shared" si="3"/>
        <v>0.83333333333333337</v>
      </c>
      <c r="J49" s="225">
        <f t="shared" si="3"/>
        <v>0.75018754688672173</v>
      </c>
      <c r="K49" s="225">
        <f t="shared" si="3"/>
        <v>0.75018754688672173</v>
      </c>
      <c r="L49" s="225">
        <f t="shared" ref="L49:N49" si="4">L40</f>
        <v>0.68189566996249573</v>
      </c>
      <c r="M49" s="225">
        <f t="shared" si="4"/>
        <v>0.68189566996249573</v>
      </c>
      <c r="N49" s="225">
        <f t="shared" si="4"/>
        <v>0.625</v>
      </c>
      <c r="O49" s="75"/>
      <c r="P49" s="225">
        <f t="shared" ref="P49:Y49" si="5">P40</f>
        <v>1.0708113612004289</v>
      </c>
      <c r="Q49" s="225">
        <f t="shared" si="5"/>
        <v>0.93664650726676046</v>
      </c>
      <c r="R49" s="225">
        <f t="shared" si="5"/>
        <v>0.93664650726676046</v>
      </c>
      <c r="S49" s="225">
        <f t="shared" si="5"/>
        <v>0.83333333333333337</v>
      </c>
      <c r="T49" s="225">
        <f t="shared" si="5"/>
        <v>0.83333333333333337</v>
      </c>
      <c r="U49" s="225">
        <f t="shared" si="5"/>
        <v>0.75018754688672173</v>
      </c>
      <c r="V49" s="225">
        <f t="shared" si="5"/>
        <v>0.75018754688672173</v>
      </c>
      <c r="W49" s="225">
        <f t="shared" si="5"/>
        <v>0.68189566996249573</v>
      </c>
      <c r="X49" s="225">
        <f t="shared" si="5"/>
        <v>0.68189566996249573</v>
      </c>
      <c r="Y49" s="225">
        <f t="shared" si="5"/>
        <v>0.625</v>
      </c>
      <c r="Z49" s="75"/>
      <c r="AA49" s="225">
        <f t="shared" ref="AA49:AJ49" si="6">AA40</f>
        <v>1.0708113612004289</v>
      </c>
      <c r="AB49" s="225">
        <f t="shared" si="6"/>
        <v>0.93664650726676046</v>
      </c>
      <c r="AC49" s="225">
        <f t="shared" si="6"/>
        <v>0.93664650726676046</v>
      </c>
      <c r="AD49" s="225">
        <f t="shared" si="6"/>
        <v>0.83333333333333337</v>
      </c>
      <c r="AE49" s="225">
        <f t="shared" si="6"/>
        <v>0.83333333333333337</v>
      </c>
      <c r="AF49" s="225">
        <f t="shared" si="6"/>
        <v>0.75018754688672173</v>
      </c>
      <c r="AG49" s="225">
        <f t="shared" si="6"/>
        <v>0.75018754688672173</v>
      </c>
      <c r="AH49" s="225">
        <f t="shared" si="6"/>
        <v>0.68189566996249573</v>
      </c>
      <c r="AI49" s="225">
        <f t="shared" si="6"/>
        <v>0.68189566996249573</v>
      </c>
      <c r="AJ49" s="225">
        <f t="shared" si="6"/>
        <v>0.625</v>
      </c>
      <c r="AK49" s="75"/>
      <c r="AL49" s="46" t="s">
        <v>31</v>
      </c>
      <c r="AM49" s="146" t="s">
        <v>200</v>
      </c>
    </row>
    <row r="50" spans="2:39" ht="18.75" customHeight="1">
      <c r="B50" s="83" t="s">
        <v>169</v>
      </c>
      <c r="C50" s="326" t="s">
        <v>170</v>
      </c>
      <c r="D50" s="326"/>
      <c r="E50" s="78">
        <v>1.9</v>
      </c>
      <c r="F50" s="78">
        <v>1.9</v>
      </c>
      <c r="G50" s="78">
        <v>1.9</v>
      </c>
      <c r="H50" s="78">
        <v>1.9</v>
      </c>
      <c r="I50" s="78">
        <v>1.9</v>
      </c>
      <c r="J50" s="78">
        <v>1.9</v>
      </c>
      <c r="K50" s="78">
        <v>1.9</v>
      </c>
      <c r="L50" s="78">
        <v>1.9</v>
      </c>
      <c r="M50" s="78">
        <v>1.9</v>
      </c>
      <c r="N50" s="78">
        <v>1.9</v>
      </c>
      <c r="O50" s="75"/>
      <c r="P50" s="78">
        <v>1.9</v>
      </c>
      <c r="Q50" s="78">
        <v>1.9</v>
      </c>
      <c r="R50" s="78">
        <v>1.9</v>
      </c>
      <c r="S50" s="78">
        <v>1.9</v>
      </c>
      <c r="T50" s="78">
        <v>1.9</v>
      </c>
      <c r="U50" s="78">
        <v>1.9</v>
      </c>
      <c r="V50" s="78">
        <v>1.9</v>
      </c>
      <c r="W50" s="78">
        <v>1.9</v>
      </c>
      <c r="X50" s="78">
        <v>1.9</v>
      </c>
      <c r="Y50" s="78">
        <v>1.9</v>
      </c>
      <c r="Z50" s="75"/>
      <c r="AA50" s="78">
        <v>1.9</v>
      </c>
      <c r="AB50" s="78">
        <v>1.9</v>
      </c>
      <c r="AC50" s="78">
        <v>1.9</v>
      </c>
      <c r="AD50" s="78">
        <v>1.9</v>
      </c>
      <c r="AE50" s="78">
        <v>1.9</v>
      </c>
      <c r="AF50" s="78">
        <v>1.9</v>
      </c>
      <c r="AG50" s="78">
        <v>1.9</v>
      </c>
      <c r="AH50" s="78">
        <v>1.9</v>
      </c>
      <c r="AI50" s="78">
        <v>1.9</v>
      </c>
      <c r="AJ50" s="78">
        <v>1.9</v>
      </c>
      <c r="AK50" s="75"/>
      <c r="AL50" s="46" t="s">
        <v>31</v>
      </c>
      <c r="AM50" s="146" t="s">
        <v>200</v>
      </c>
    </row>
    <row r="51" spans="2:39" ht="14.25" customHeight="1">
      <c r="B51" s="64"/>
      <c r="C51" s="65"/>
      <c r="D51" s="64"/>
      <c r="E51" s="64"/>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43"/>
    </row>
    <row r="52" spans="2:39" ht="14.25" customHeight="1">
      <c r="B52" s="64"/>
      <c r="C52" s="65"/>
      <c r="D52" s="64"/>
      <c r="E52" s="64"/>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43"/>
    </row>
    <row r="53" spans="2:39" ht="23.25" customHeight="1">
      <c r="B53" s="346" t="s">
        <v>223</v>
      </c>
      <c r="C53" s="347"/>
      <c r="D53" s="347"/>
      <c r="E53" s="347"/>
      <c r="F53" s="347"/>
      <c r="G53" s="347"/>
      <c r="H53" s="347"/>
      <c r="I53" s="347"/>
      <c r="J53" s="347"/>
      <c r="K53" s="347"/>
      <c r="L53" s="347"/>
      <c r="M53" s="34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8"/>
    </row>
    <row r="54" spans="2:39" ht="27.75" hidden="1" customHeight="1">
      <c r="B54" s="64"/>
      <c r="C54" s="65"/>
      <c r="D54" s="64"/>
      <c r="E54" s="62" t="str">
        <f>IF('DDR4 Config'!$H$1=1,'DDR4 Spec'!E6,IF('DDR4 Config'!$H$1=2,'DDR4 Spec'!P6,IF('DDR4 Config'!$H$1=3,'DDR4 Spec'!AA6,'DDR4 Spec'!AM6)))</f>
        <v>-107E</v>
      </c>
      <c r="F54" s="62" t="str">
        <f>IF('DDR4 Config'!$H$1=1,'DDR4 Spec'!F6,IF('DDR4 Config'!$H$1=2,'DDR4 Spec'!Q6,IF('DDR4 Config'!$H$1=3,'DDR4 Spec'!AB6,'DDR4 Spec'!AN6)))</f>
        <v>-093</v>
      </c>
      <c r="G54" s="62" t="str">
        <f>IF('DDR4 Config'!$H$1=1,'DDR4 Spec'!G6,IF('DDR4 Config'!$H$1=2,'DDR4 Spec'!R6,IF('DDR4 Config'!$H$1=3,'DDR4 Spec'!AC6,'DDR4 Spec'!AO6)))</f>
        <v>-093E</v>
      </c>
      <c r="H54" s="62" t="str">
        <f>IF('DDR4 Config'!$H$1=1,'DDR4 Spec'!H6,IF('DDR4 Config'!$H$1=2,'DDR4 Spec'!S6,IF('DDR4 Config'!$H$1=3,'DDR4 Spec'!AD6,'DDR4 Spec'!AP6)))</f>
        <v>-083</v>
      </c>
      <c r="I54" s="62" t="str">
        <f>IF('DDR4 Config'!$H$1=1,'DDR4 Spec'!I6,IF('DDR4 Config'!$H$1=2,'DDR4 Spec'!T6,IF('DDR4 Config'!$H$1=3,'DDR4 Spec'!AE6,'DDR4 Spec'!AQ6)))</f>
        <v>-083E</v>
      </c>
      <c r="J54" s="62" t="str">
        <f>IF('DDR4 Config'!$H$1=1,'DDR4 Spec'!J6,IF('DDR4 Config'!$H$1=2,'DDR4 Spec'!U6,IF('DDR4 Config'!$H$1=3,'DDR4 Spec'!AF6,'DDR4 Spec'!AR6)))</f>
        <v>-075</v>
      </c>
      <c r="K54" s="62" t="str">
        <f>IF('DDR4 Config'!$H$1=1,'DDR4 Spec'!K6,IF('DDR4 Config'!$H$1=2,'DDR4 Spec'!V6,IF('DDR4 Config'!$H$1=3,'DDR4 Spec'!AG6,'DDR4 Spec'!AS6)))</f>
        <v>-075E</v>
      </c>
      <c r="L54" s="62" t="str">
        <f>IF('DDR4 Config'!$H$1=1,'DDR4 Spec'!L6,IF('DDR4 Config'!$H$1=2,'DDR4 Spec'!W6,IF('DDR4 Config'!$H$1=3,'DDR4 Spec'!AH6,'DDR4 Spec'!AT6)))</f>
        <v>-068</v>
      </c>
      <c r="M54" s="62" t="str">
        <f>IF('DDR4 Config'!$H$1=1,'DDR4 Spec'!M6,IF('DDR4 Config'!$H$1=2,'DDR4 Spec'!X6,IF('DDR4 Config'!$H$1=3,'DDR4 Spec'!AI6,'DDR4 Spec'!AU6)))</f>
        <v>-068E</v>
      </c>
      <c r="N54" s="62" t="str">
        <f>IF('DDR4 Config'!$H$1=1,'DDR4 Spec'!N6,IF('DDR4 Config'!$H$1=2,'DDR4 Spec'!Y6,IF('DDR4 Config'!$H$1=3,'DDR4 Spec'!AJ6,'DDR4 Spec'!AV6)))</f>
        <v>-062E</v>
      </c>
      <c r="O54" s="62" t="str">
        <f>'DDR4 Config'!D9</f>
        <v>-075E</v>
      </c>
      <c r="P54" s="62"/>
      <c r="Q54" s="62"/>
      <c r="R54" s="62"/>
      <c r="S54" s="62"/>
      <c r="T54" s="62"/>
      <c r="U54" s="62"/>
      <c r="V54" s="62"/>
      <c r="W54" s="62"/>
      <c r="X54" s="62"/>
      <c r="Y54" s="62"/>
      <c r="Z54" s="62"/>
      <c r="AA54" s="62"/>
      <c r="AB54" s="62"/>
      <c r="AC54" s="62"/>
      <c r="AD54" s="62"/>
      <c r="AE54" s="62"/>
      <c r="AF54" s="62"/>
      <c r="AG54" s="62"/>
      <c r="AH54" s="62"/>
      <c r="AI54" s="62"/>
      <c r="AJ54" s="62"/>
      <c r="AK54" s="62"/>
      <c r="AL54" s="43"/>
    </row>
    <row r="55" spans="2:39" ht="27.75" hidden="1" customHeight="1">
      <c r="B55" s="64"/>
      <c r="C55" s="65"/>
      <c r="D55" s="64"/>
      <c r="E55" s="62">
        <v>1</v>
      </c>
      <c r="F55" s="62">
        <v>2</v>
      </c>
      <c r="G55" s="62">
        <v>3</v>
      </c>
      <c r="H55" s="62">
        <v>4</v>
      </c>
      <c r="I55" s="62">
        <v>5</v>
      </c>
      <c r="J55" s="62">
        <v>6</v>
      </c>
      <c r="K55" s="62">
        <v>7</v>
      </c>
      <c r="L55" s="62">
        <v>8</v>
      </c>
      <c r="M55" s="62">
        <v>9</v>
      </c>
      <c r="N55" s="62">
        <v>10</v>
      </c>
      <c r="O55" s="62">
        <f>'DDR4 Config'!I1</f>
        <v>7</v>
      </c>
      <c r="P55" s="62"/>
      <c r="Q55" s="62"/>
      <c r="R55" s="62"/>
      <c r="S55" s="62"/>
      <c r="T55" s="62"/>
      <c r="U55" s="62"/>
      <c r="V55" s="62"/>
      <c r="W55" s="62"/>
      <c r="X55" s="62"/>
      <c r="Y55" s="62"/>
      <c r="Z55" s="62"/>
      <c r="AA55" s="62"/>
      <c r="AB55" s="62"/>
      <c r="AC55" s="62"/>
      <c r="AD55" s="62"/>
      <c r="AE55" s="62"/>
      <c r="AF55" s="62"/>
      <c r="AG55" s="62"/>
      <c r="AH55" s="62"/>
      <c r="AI55" s="62"/>
      <c r="AJ55" s="62"/>
      <c r="AK55" s="62"/>
      <c r="AL55" s="43"/>
    </row>
    <row r="56" spans="2:39" ht="27.75" hidden="1" customHeight="1">
      <c r="B56" s="64"/>
      <c r="C56" s="65"/>
      <c r="D56" s="64"/>
      <c r="E56" s="62">
        <f>IF('DDR4 Config'!$H$1=1,'DDR4 Spec'!E7,IF('DDR4 Config'!$H$1=2,'DDR4 Spec'!P7,IF('DDR4 Config'!$H$1=3,'DDR4 Spec'!AA7,'DDR4 Spec'!AK7)))</f>
        <v>1.26</v>
      </c>
      <c r="F56" s="62">
        <f>IF('DDR4 Config'!$H$1=1,'DDR4 Spec'!F7,IF('DDR4 Config'!$H$1=2,'DDR4 Spec'!Q7,IF('DDR4 Config'!$H$1=3,'DDR4 Spec'!AB7,'DDR4 Spec'!AL7)))</f>
        <v>1.26</v>
      </c>
      <c r="G56" s="62">
        <f>IF('DDR4 Config'!$H$1=1,'DDR4 Spec'!G7,IF('DDR4 Config'!$H$1=2,'DDR4 Spec'!R7,IF('DDR4 Config'!$H$1=3,'DDR4 Spec'!AC7,'DDR4 Spec'!AM7)))</f>
        <v>1.26</v>
      </c>
      <c r="H56" s="62">
        <f>IF('DDR4 Config'!$H$1=1,'DDR4 Spec'!H7,IF('DDR4 Config'!$H$1=2,'DDR4 Spec'!S7,IF('DDR4 Config'!$H$1=3,'DDR4 Spec'!AD7,'DDR4 Spec'!AN7)))</f>
        <v>1.26</v>
      </c>
      <c r="I56" s="62">
        <f>IF('DDR4 Config'!$H$1=1,'DDR4 Spec'!I7,IF('DDR4 Config'!$H$1=2,'DDR4 Spec'!T7,IF('DDR4 Config'!$H$1=3,'DDR4 Spec'!AE7,'DDR4 Spec'!AO7)))</f>
        <v>1.26</v>
      </c>
      <c r="J56" s="62">
        <f>IF('DDR4 Config'!$H$1=1,'DDR4 Spec'!J7,IF('DDR4 Config'!$H$1=2,'DDR4 Spec'!U7,IF('DDR4 Config'!$H$1=3,'DDR4 Spec'!AF7,'DDR4 Spec'!AP7)))</f>
        <v>1.26</v>
      </c>
      <c r="K56" s="62">
        <f>IF('DDR4 Config'!$H$1=1,'DDR4 Spec'!K7,IF('DDR4 Config'!$H$1=2,'DDR4 Spec'!V7,IF('DDR4 Config'!$H$1=3,'DDR4 Spec'!AG7,'DDR4 Spec'!AQ7)))</f>
        <v>1.26</v>
      </c>
      <c r="L56" s="62">
        <f>IF('DDR4 Config'!$H$1=1,'DDR4 Spec'!L7,IF('DDR4 Config'!$H$1=2,'DDR4 Spec'!W7,IF('DDR4 Config'!$H$1=3,'DDR4 Spec'!AH7,'DDR4 Spec'!AR7)))</f>
        <v>1.26</v>
      </c>
      <c r="M56" s="62">
        <f>IF('DDR4 Config'!$H$1=1,'DDR4 Spec'!M7,IF('DDR4 Config'!$H$1=2,'DDR4 Spec'!X7,IF('DDR4 Config'!$H$1=3,'DDR4 Spec'!AI7,'DDR4 Spec'!AS7)))</f>
        <v>1.26</v>
      </c>
      <c r="N56" s="62">
        <f>IF('DDR4 Config'!$H$1=1,'DDR4 Spec'!N7,IF('DDR4 Config'!$H$1=2,'DDR4 Spec'!Y7,IF('DDR4 Config'!$H$1=3,'DDR4 Spec'!AJ7,'DDR4 Spec'!AT7)))</f>
        <v>1.26</v>
      </c>
      <c r="O56" s="62">
        <f>HLOOKUP($O$55,$E$55:$N$100,2)</f>
        <v>1.26</v>
      </c>
      <c r="P56" s="62"/>
      <c r="Q56" s="62"/>
      <c r="R56" s="62"/>
      <c r="S56" s="62"/>
      <c r="T56" s="62"/>
      <c r="U56" s="62"/>
      <c r="V56" s="62"/>
      <c r="W56" s="62"/>
      <c r="X56" s="62"/>
      <c r="Y56" s="62"/>
      <c r="Z56" s="62"/>
      <c r="AA56" s="62"/>
      <c r="AB56" s="62"/>
      <c r="AC56" s="62"/>
      <c r="AD56" s="62"/>
      <c r="AE56" s="62"/>
      <c r="AF56" s="62"/>
      <c r="AG56" s="62"/>
      <c r="AH56" s="62"/>
      <c r="AI56" s="62"/>
      <c r="AJ56" s="62"/>
      <c r="AK56" s="62"/>
      <c r="AL56" s="43"/>
    </row>
    <row r="57" spans="2:39" ht="27.75" hidden="1" customHeight="1">
      <c r="B57" s="64"/>
      <c r="C57" s="65"/>
      <c r="D57" s="64"/>
      <c r="E57" s="62">
        <f>IF('DDR4 Config'!$H$1=1,'DDR4 Spec'!E8,IF('DDR4 Config'!$H$1=2,'DDR4 Spec'!P8,IF('DDR4 Config'!$H$1=3,'DDR4 Spec'!AA8,'DDR4 Spec'!AK8)))</f>
        <v>1.1399999999999999</v>
      </c>
      <c r="F57" s="62">
        <f>IF('DDR4 Config'!$H$1=1,'DDR4 Spec'!F8,IF('DDR4 Config'!$H$1=2,'DDR4 Spec'!Q8,IF('DDR4 Config'!$H$1=3,'DDR4 Spec'!AB8,'DDR4 Spec'!AL8)))</f>
        <v>1.1399999999999999</v>
      </c>
      <c r="G57" s="62">
        <f>IF('DDR4 Config'!$H$1=1,'DDR4 Spec'!G8,IF('DDR4 Config'!$H$1=2,'DDR4 Spec'!R8,IF('DDR4 Config'!$H$1=3,'DDR4 Spec'!AC8,'DDR4 Spec'!AM8)))</f>
        <v>1.1399999999999999</v>
      </c>
      <c r="H57" s="62">
        <f>IF('DDR4 Config'!$H$1=1,'DDR4 Spec'!H8,IF('DDR4 Config'!$H$1=2,'DDR4 Spec'!S8,IF('DDR4 Config'!$H$1=3,'DDR4 Spec'!AD8,'DDR4 Spec'!AN8)))</f>
        <v>1.1399999999999999</v>
      </c>
      <c r="I57" s="62">
        <f>IF('DDR4 Config'!$H$1=1,'DDR4 Spec'!I8,IF('DDR4 Config'!$H$1=2,'DDR4 Spec'!T8,IF('DDR4 Config'!$H$1=3,'DDR4 Spec'!AE8,'DDR4 Spec'!AO8)))</f>
        <v>1.1399999999999999</v>
      </c>
      <c r="J57" s="62">
        <f>IF('DDR4 Config'!$H$1=1,'DDR4 Spec'!J8,IF('DDR4 Config'!$H$1=2,'DDR4 Spec'!U8,IF('DDR4 Config'!$H$1=3,'DDR4 Spec'!AF8,'DDR4 Spec'!AP8)))</f>
        <v>1.1399999999999999</v>
      </c>
      <c r="K57" s="62">
        <f>IF('DDR4 Config'!$H$1=1,'DDR4 Spec'!K8,IF('DDR4 Config'!$H$1=2,'DDR4 Spec'!V8,IF('DDR4 Config'!$H$1=3,'DDR4 Spec'!AG8,'DDR4 Spec'!AQ8)))</f>
        <v>1.1399999999999999</v>
      </c>
      <c r="L57" s="62">
        <f>IF('DDR4 Config'!$H$1=1,'DDR4 Spec'!L8,IF('DDR4 Config'!$H$1=2,'DDR4 Spec'!W8,IF('DDR4 Config'!$H$1=3,'DDR4 Spec'!AH8,'DDR4 Spec'!AR8)))</f>
        <v>1.1399999999999999</v>
      </c>
      <c r="M57" s="62">
        <f>IF('DDR4 Config'!$H$1=1,'DDR4 Spec'!M8,IF('DDR4 Config'!$H$1=2,'DDR4 Spec'!X8,IF('DDR4 Config'!$H$1=3,'DDR4 Spec'!AI8,'DDR4 Spec'!AS8)))</f>
        <v>1.1399999999999999</v>
      </c>
      <c r="N57" s="62">
        <f>IF('DDR4 Config'!$H$1=1,'DDR4 Spec'!N8,IF('DDR4 Config'!$H$1=2,'DDR4 Spec'!Y8,IF('DDR4 Config'!$H$1=3,'DDR4 Spec'!AJ8,'DDR4 Spec'!AT8)))</f>
        <v>1.1399999999999999</v>
      </c>
      <c r="O57" s="62">
        <f>HLOOKUP($O$55,$E$55:$N$100,3)</f>
        <v>1.1399999999999999</v>
      </c>
      <c r="P57" s="62"/>
      <c r="Q57" s="62"/>
      <c r="R57" s="62" t="s">
        <v>196</v>
      </c>
      <c r="S57" s="62"/>
      <c r="T57" s="62"/>
      <c r="U57" s="62"/>
      <c r="V57" s="62"/>
      <c r="W57" s="62"/>
      <c r="X57" s="62"/>
      <c r="Y57" s="62"/>
      <c r="Z57" s="62"/>
      <c r="AA57" s="62"/>
      <c r="AB57" s="62"/>
      <c r="AC57" s="62"/>
      <c r="AD57" s="62"/>
      <c r="AE57" s="62"/>
      <c r="AF57" s="62"/>
      <c r="AG57" s="62"/>
      <c r="AH57" s="62"/>
      <c r="AI57" s="62"/>
      <c r="AJ57" s="62"/>
      <c r="AK57" s="62"/>
      <c r="AL57" s="43"/>
    </row>
    <row r="58" spans="2:39" ht="27.75" hidden="1" customHeight="1">
      <c r="B58" s="64"/>
      <c r="C58" s="65"/>
      <c r="D58" s="64"/>
      <c r="E58" s="62">
        <f>IF('DDR4 Config'!$H$1=1,'DDR4 Spec'!E9,IF('DDR4 Config'!$H$1=2,'DDR4 Spec'!P9,IF('DDR4 Config'!$H$1=3,'DDR4 Spec'!AA9,'DDR4 Spec'!AK9)))</f>
        <v>2.75</v>
      </c>
      <c r="F58" s="62">
        <f>IF('DDR4 Config'!$H$1=1,'DDR4 Spec'!F9,IF('DDR4 Config'!$H$1=2,'DDR4 Spec'!Q9,IF('DDR4 Config'!$H$1=3,'DDR4 Spec'!AB9,'DDR4 Spec'!AL9)))</f>
        <v>2.75</v>
      </c>
      <c r="G58" s="62">
        <f>IF('DDR4 Config'!$H$1=1,'DDR4 Spec'!G9,IF('DDR4 Config'!$H$1=2,'DDR4 Spec'!R9,IF('DDR4 Config'!$H$1=3,'DDR4 Spec'!AC9,'DDR4 Spec'!AM9)))</f>
        <v>2.75</v>
      </c>
      <c r="H58" s="62">
        <f>IF('DDR4 Config'!$H$1=1,'DDR4 Spec'!H9,IF('DDR4 Config'!$H$1=2,'DDR4 Spec'!S9,IF('DDR4 Config'!$H$1=3,'DDR4 Spec'!AD9,'DDR4 Spec'!AN9)))</f>
        <v>2.75</v>
      </c>
      <c r="I58" s="62">
        <f>IF('DDR4 Config'!$H$1=1,'DDR4 Spec'!I9,IF('DDR4 Config'!$H$1=2,'DDR4 Spec'!T9,IF('DDR4 Config'!$H$1=3,'DDR4 Spec'!AE9,'DDR4 Spec'!AO9)))</f>
        <v>2.75</v>
      </c>
      <c r="J58" s="62">
        <f>IF('DDR4 Config'!$H$1=1,'DDR4 Spec'!J9,IF('DDR4 Config'!$H$1=2,'DDR4 Spec'!U9,IF('DDR4 Config'!$H$1=3,'DDR4 Spec'!AF9,'DDR4 Spec'!AP9)))</f>
        <v>2.75</v>
      </c>
      <c r="K58" s="62">
        <f>IF('DDR4 Config'!$H$1=1,'DDR4 Spec'!K9,IF('DDR4 Config'!$H$1=2,'DDR4 Spec'!V9,IF('DDR4 Config'!$H$1=3,'DDR4 Spec'!AG9,'DDR4 Spec'!AQ9)))</f>
        <v>2.75</v>
      </c>
      <c r="L58" s="62">
        <f>IF('DDR4 Config'!$H$1=1,'DDR4 Spec'!L9,IF('DDR4 Config'!$H$1=2,'DDR4 Spec'!W9,IF('DDR4 Config'!$H$1=3,'DDR4 Spec'!AH9,'DDR4 Spec'!AR9)))</f>
        <v>2.75</v>
      </c>
      <c r="M58" s="62">
        <f>IF('DDR4 Config'!$H$1=1,'DDR4 Spec'!M9,IF('DDR4 Config'!$H$1=2,'DDR4 Spec'!X9,IF('DDR4 Config'!$H$1=3,'DDR4 Spec'!AI9,'DDR4 Spec'!AS9)))</f>
        <v>2.75</v>
      </c>
      <c r="N58" s="62">
        <f>IF('DDR4 Config'!$H$1=1,'DDR4 Spec'!N9,IF('DDR4 Config'!$H$1=2,'DDR4 Spec'!Y9,IF('DDR4 Config'!$H$1=3,'DDR4 Spec'!AJ9,'DDR4 Spec'!AT9)))</f>
        <v>2.75</v>
      </c>
      <c r="O58" s="62">
        <f>HLOOKUP($O$55,$E$55:$N$100,4)</f>
        <v>2.75</v>
      </c>
      <c r="P58" s="62"/>
      <c r="Q58" s="62"/>
      <c r="R58" s="62"/>
      <c r="S58" s="62"/>
      <c r="T58" s="62"/>
      <c r="U58" s="62"/>
      <c r="V58" s="62"/>
      <c r="W58" s="62"/>
      <c r="X58" s="62"/>
      <c r="Y58" s="62"/>
      <c r="Z58" s="62"/>
      <c r="AA58" s="62"/>
      <c r="AB58" s="62"/>
      <c r="AC58" s="62"/>
      <c r="AD58" s="62"/>
      <c r="AE58" s="62"/>
      <c r="AF58" s="62"/>
      <c r="AG58" s="62"/>
      <c r="AH58" s="62"/>
      <c r="AI58" s="62"/>
      <c r="AJ58" s="62"/>
      <c r="AK58" s="62"/>
      <c r="AL58" s="43"/>
    </row>
    <row r="59" spans="2:39" ht="27.75" hidden="1" customHeight="1">
      <c r="B59" s="64"/>
      <c r="C59" s="65"/>
      <c r="D59" s="64"/>
      <c r="E59" s="62">
        <f>IF('DDR4 Config'!$H$1=1,'DDR4 Spec'!E10,IF('DDR4 Config'!$H$1=2,'DDR4 Spec'!P10,IF('DDR4 Config'!$H$1=3,'DDR4 Spec'!AA10,'DDR4 Spec'!AK10)))</f>
        <v>2.375</v>
      </c>
      <c r="F59" s="62">
        <f>IF('DDR4 Config'!$H$1=1,'DDR4 Spec'!F10,IF('DDR4 Config'!$H$1=2,'DDR4 Spec'!Q10,IF('DDR4 Config'!$H$1=3,'DDR4 Spec'!AB10,'DDR4 Spec'!AL10)))</f>
        <v>2.375</v>
      </c>
      <c r="G59" s="62">
        <f>IF('DDR4 Config'!$H$1=1,'DDR4 Spec'!G10,IF('DDR4 Config'!$H$1=2,'DDR4 Spec'!R10,IF('DDR4 Config'!$H$1=3,'DDR4 Spec'!AC10,'DDR4 Spec'!AM10)))</f>
        <v>2.375</v>
      </c>
      <c r="H59" s="62">
        <f>IF('DDR4 Config'!$H$1=1,'DDR4 Spec'!H10,IF('DDR4 Config'!$H$1=2,'DDR4 Spec'!S10,IF('DDR4 Config'!$H$1=3,'DDR4 Spec'!AD10,'DDR4 Spec'!AN10)))</f>
        <v>2.375</v>
      </c>
      <c r="I59" s="62">
        <f>IF('DDR4 Config'!$H$1=1,'DDR4 Spec'!I10,IF('DDR4 Config'!$H$1=2,'DDR4 Spec'!T10,IF('DDR4 Config'!$H$1=3,'DDR4 Spec'!AE10,'DDR4 Spec'!AO10)))</f>
        <v>2.375</v>
      </c>
      <c r="J59" s="62">
        <f>IF('DDR4 Config'!$H$1=1,'DDR4 Spec'!J10,IF('DDR4 Config'!$H$1=2,'DDR4 Spec'!U10,IF('DDR4 Config'!$H$1=3,'DDR4 Spec'!AF10,'DDR4 Spec'!AP10)))</f>
        <v>2.375</v>
      </c>
      <c r="K59" s="62">
        <f>IF('DDR4 Config'!$H$1=1,'DDR4 Spec'!K10,IF('DDR4 Config'!$H$1=2,'DDR4 Spec'!V10,IF('DDR4 Config'!$H$1=3,'DDR4 Spec'!AG10,'DDR4 Spec'!AQ10)))</f>
        <v>2.375</v>
      </c>
      <c r="L59" s="62">
        <f>IF('DDR4 Config'!$H$1=1,'DDR4 Spec'!L10,IF('DDR4 Config'!$H$1=2,'DDR4 Spec'!W10,IF('DDR4 Config'!$H$1=3,'DDR4 Spec'!AH10,'DDR4 Spec'!AR10)))</f>
        <v>2.375</v>
      </c>
      <c r="M59" s="62">
        <f>IF('DDR4 Config'!$H$1=1,'DDR4 Spec'!M10,IF('DDR4 Config'!$H$1=2,'DDR4 Spec'!X10,IF('DDR4 Config'!$H$1=3,'DDR4 Spec'!AI10,'DDR4 Spec'!AS10)))</f>
        <v>2.375</v>
      </c>
      <c r="N59" s="62">
        <f>IF('DDR4 Config'!$H$1=1,'DDR4 Spec'!N10,IF('DDR4 Config'!$H$1=2,'DDR4 Spec'!Y10,IF('DDR4 Config'!$H$1=3,'DDR4 Spec'!AJ10,'DDR4 Spec'!AT10)))</f>
        <v>2.375</v>
      </c>
      <c r="O59" s="62">
        <f>HLOOKUP($O$55,$E$55:$N$100,5)</f>
        <v>2.375</v>
      </c>
      <c r="P59" s="62"/>
      <c r="Q59" s="62"/>
      <c r="R59" s="62"/>
      <c r="S59" s="62"/>
      <c r="T59" s="62"/>
      <c r="U59" s="62"/>
      <c r="V59" s="62"/>
      <c r="W59" s="62"/>
      <c r="X59" s="62"/>
      <c r="Y59" s="62"/>
      <c r="Z59" s="62"/>
      <c r="AA59" s="62"/>
      <c r="AB59" s="62"/>
      <c r="AC59" s="62"/>
      <c r="AD59" s="62"/>
      <c r="AE59" s="62"/>
      <c r="AF59" s="62"/>
      <c r="AG59" s="62"/>
      <c r="AH59" s="62"/>
      <c r="AI59" s="62"/>
      <c r="AJ59" s="62"/>
      <c r="AK59" s="62"/>
      <c r="AL59" s="43"/>
    </row>
    <row r="60" spans="2:39" ht="27.75" hidden="1" customHeight="1">
      <c r="B60" s="64"/>
      <c r="C60" s="65"/>
      <c r="D60" s="64"/>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43"/>
    </row>
    <row r="61" spans="2:39" ht="27.75" hidden="1" customHeight="1">
      <c r="B61" s="64"/>
      <c r="C61" s="65"/>
      <c r="D61" s="335" t="s">
        <v>177</v>
      </c>
      <c r="E61" s="62">
        <f>IF('DDR4 Config'!$H$1=1,'DDR4 Spec'!E12,IF('DDR4 Config'!$H$1=2,'DDR4 Spec'!P12,IF('DDR4 Config'!$H$1=3,'DDR4 Spec'!AA12,'DDR4 Spec'!AM12)))</f>
        <v>55</v>
      </c>
      <c r="F61" s="62">
        <f>IF('DDR4 Config'!$H$1=1,'DDR4 Spec'!F12,IF('DDR4 Config'!$H$1=2,'DDR4 Spec'!Q12,IF('DDR4 Config'!$H$1=3,'DDR4 Spec'!AB12,'DDR4 Spec'!AN12)))</f>
        <v>55</v>
      </c>
      <c r="G61" s="62">
        <f>IF('DDR4 Config'!$H$1=1,'DDR4 Spec'!G12,IF('DDR4 Config'!$H$1=2,'DDR4 Spec'!R12,IF('DDR4 Config'!$H$1=3,'DDR4 Spec'!AC12,'DDR4 Spec'!AO12)))</f>
        <v>55</v>
      </c>
      <c r="H61" s="62">
        <f>IF('DDR4 Config'!$H$1=1,'DDR4 Spec'!H12,IF('DDR4 Config'!$H$1=2,'DDR4 Spec'!S12,IF('DDR4 Config'!$H$1=3,'DDR4 Spec'!AD12,'DDR4 Spec'!AP12)))</f>
        <v>60</v>
      </c>
      <c r="I61" s="62">
        <f>IF('DDR4 Config'!$H$1=1,'DDR4 Spec'!I12,IF('DDR4 Config'!$H$1=2,'DDR4 Spec'!T12,IF('DDR4 Config'!$H$1=3,'DDR4 Spec'!AE12,'DDR4 Spec'!AQ12)))</f>
        <v>60</v>
      </c>
      <c r="J61" s="62">
        <f>IF('DDR4 Config'!$H$1=1,'DDR4 Spec'!J12,IF('DDR4 Config'!$H$1=2,'DDR4 Spec'!U12,IF('DDR4 Config'!$H$1=3,'DDR4 Spec'!AF12,'DDR4 Spec'!AR12)))</f>
        <v>65</v>
      </c>
      <c r="K61" s="62">
        <f>IF('DDR4 Config'!$H$1=1,'DDR4 Spec'!K12,IF('DDR4 Config'!$H$1=2,'DDR4 Spec'!V12,IF('DDR4 Config'!$H$1=3,'DDR4 Spec'!AG12,'DDR4 Spec'!AS12)))</f>
        <v>65</v>
      </c>
      <c r="L61" s="62" t="str">
        <f>IF('DDR4 Config'!$H$1=1,'DDR4 Spec'!L12,IF('DDR4 Config'!$H$1=2,'DDR4 Spec'!W12,IF('DDR4 Config'!$H$1=3,'DDR4 Spec'!AH12,'DDR4 Spec'!AT12)))</f>
        <v>tbd</v>
      </c>
      <c r="M61" s="62" t="str">
        <f>IF('DDR4 Config'!$H$1=1,'DDR4 Spec'!M12,IF('DDR4 Config'!$H$1=2,'DDR4 Spec'!X12,IF('DDR4 Config'!$H$1=3,'DDR4 Spec'!AI12,'DDR4 Spec'!AU12)))</f>
        <v>tbd</v>
      </c>
      <c r="N61" s="62" t="str">
        <f>IF('DDR4 Config'!$H$1=1,'DDR4 Spec'!N12,IF('DDR4 Config'!$H$1=2,'DDR4 Spec'!Y12,IF('DDR4 Config'!$H$1=3,'DDR4 Spec'!AJ12,'DDR4 Spec'!AV12)))</f>
        <v>tbd</v>
      </c>
      <c r="O61" s="62">
        <f>HLOOKUP($O$55,$E$55:$N$100,7)</f>
        <v>65</v>
      </c>
      <c r="P61" s="62"/>
      <c r="Q61" s="62"/>
      <c r="R61" s="62"/>
      <c r="S61" s="62"/>
      <c r="T61" s="62"/>
      <c r="U61" s="62"/>
      <c r="V61" s="62"/>
      <c r="W61" s="62"/>
      <c r="X61" s="62"/>
      <c r="Y61" s="62"/>
      <c r="Z61" s="62"/>
      <c r="AA61" s="62"/>
      <c r="AB61" s="62"/>
      <c r="AC61" s="62"/>
      <c r="AD61" s="62"/>
      <c r="AE61" s="62"/>
      <c r="AF61" s="62"/>
      <c r="AG61" s="62"/>
      <c r="AH61" s="62"/>
      <c r="AI61" s="62"/>
      <c r="AJ61" s="62"/>
      <c r="AK61" s="62"/>
      <c r="AL61" s="43"/>
    </row>
    <row r="62" spans="2:39" ht="27.75" hidden="1" customHeight="1">
      <c r="B62" s="64"/>
      <c r="C62" s="65"/>
      <c r="D62" s="335"/>
      <c r="E62" s="62">
        <f>IF('DDR4 Config'!$H$1=1,'DDR4 Spec'!E13,IF('DDR4 Config'!$H$1=2,'DDR4 Spec'!P13,IF('DDR4 Config'!$H$1=3,'DDR4 Spec'!AA13,'DDR4 Spec'!AM13)))</f>
        <v>55</v>
      </c>
      <c r="F62" s="62">
        <f>IF('DDR4 Config'!$H$1=1,'DDR4 Spec'!F13,IF('DDR4 Config'!$H$1=2,'DDR4 Spec'!Q13,IF('DDR4 Config'!$H$1=3,'DDR4 Spec'!AB13,'DDR4 Spec'!AN13)))</f>
        <v>55</v>
      </c>
      <c r="G62" s="62">
        <f>IF('DDR4 Config'!$H$1=1,'DDR4 Spec'!G13,IF('DDR4 Config'!$H$1=2,'DDR4 Spec'!R13,IF('DDR4 Config'!$H$1=3,'DDR4 Spec'!AC13,'DDR4 Spec'!AO13)))</f>
        <v>55</v>
      </c>
      <c r="H62" s="62">
        <f>IF('DDR4 Config'!$H$1=1,'DDR4 Spec'!H13,IF('DDR4 Config'!$H$1=2,'DDR4 Spec'!S13,IF('DDR4 Config'!$H$1=3,'DDR4 Spec'!AD13,'DDR4 Spec'!AP13)))</f>
        <v>60</v>
      </c>
      <c r="I62" s="62">
        <f>IF('DDR4 Config'!$H$1=1,'DDR4 Spec'!I13,IF('DDR4 Config'!$H$1=2,'DDR4 Spec'!T13,IF('DDR4 Config'!$H$1=3,'DDR4 Spec'!AE13,'DDR4 Spec'!AQ13)))</f>
        <v>60</v>
      </c>
      <c r="J62" s="62">
        <f>IF('DDR4 Config'!$H$1=1,'DDR4 Spec'!J13,IF('DDR4 Config'!$H$1=2,'DDR4 Spec'!U13,IF('DDR4 Config'!$H$1=3,'DDR4 Spec'!AF13,'DDR4 Spec'!AR13)))</f>
        <v>65</v>
      </c>
      <c r="K62" s="62">
        <f>IF('DDR4 Config'!$H$1=1,'DDR4 Spec'!K13,IF('DDR4 Config'!$H$1=2,'DDR4 Spec'!V13,IF('DDR4 Config'!$H$1=3,'DDR4 Spec'!AG13,'DDR4 Spec'!AS13)))</f>
        <v>65</v>
      </c>
      <c r="L62" s="62" t="str">
        <f>IF('DDR4 Config'!$H$1=1,'DDR4 Spec'!L13,IF('DDR4 Config'!$H$1=2,'DDR4 Spec'!W13,IF('DDR4 Config'!$H$1=3,'DDR4 Spec'!AH13,'DDR4 Spec'!AT13)))</f>
        <v>tbd</v>
      </c>
      <c r="M62" s="62" t="str">
        <f>IF('DDR4 Config'!$H$1=1,'DDR4 Spec'!M13,IF('DDR4 Config'!$H$1=2,'DDR4 Spec'!X13,IF('DDR4 Config'!$H$1=3,'DDR4 Spec'!AI13,'DDR4 Spec'!AU13)))</f>
        <v>tbd</v>
      </c>
      <c r="N62" s="62" t="str">
        <f>IF('DDR4 Config'!$H$1=1,'DDR4 Spec'!N13,IF('DDR4 Config'!$H$1=2,'DDR4 Spec'!Y13,IF('DDR4 Config'!$H$1=3,'DDR4 Spec'!AJ13,'DDR4 Spec'!AV13)))</f>
        <v>tbd</v>
      </c>
      <c r="O62" s="62">
        <f>HLOOKUP($O$55,$E$55:$N$100,8)</f>
        <v>65</v>
      </c>
      <c r="P62" s="62"/>
      <c r="Q62" s="62"/>
      <c r="R62" s="62"/>
      <c r="S62" s="62"/>
      <c r="T62" s="62"/>
      <c r="U62" s="62"/>
      <c r="V62" s="62"/>
      <c r="W62" s="62"/>
      <c r="X62" s="62"/>
      <c r="Y62" s="62"/>
      <c r="Z62" s="62"/>
      <c r="AA62" s="62"/>
      <c r="AB62" s="62"/>
      <c r="AC62" s="62"/>
      <c r="AD62" s="62"/>
      <c r="AE62" s="62"/>
      <c r="AF62" s="62"/>
      <c r="AG62" s="62"/>
      <c r="AH62" s="62"/>
      <c r="AI62" s="62"/>
      <c r="AJ62" s="62"/>
      <c r="AK62" s="62"/>
      <c r="AL62" s="43"/>
    </row>
    <row r="63" spans="2:39" ht="27.75" hidden="1" customHeight="1">
      <c r="B63" s="64"/>
      <c r="C63" s="65"/>
      <c r="D63" s="335"/>
      <c r="E63" s="62">
        <f>IF('DDR4 Config'!$H$1=1,'DDR4 Spec'!E14,IF('DDR4 Config'!$H$1=2,'DDR4 Spec'!P14,IF('DDR4 Config'!$H$1=3,'DDR4 Spec'!AA14,'DDR4 Spec'!AM14)))</f>
        <v>65</v>
      </c>
      <c r="F63" s="62">
        <f>IF('DDR4 Config'!$H$1=1,'DDR4 Spec'!F14,IF('DDR4 Config'!$H$1=2,'DDR4 Spec'!Q14,IF('DDR4 Config'!$H$1=3,'DDR4 Spec'!AB14,'DDR4 Spec'!AN14)))</f>
        <v>65</v>
      </c>
      <c r="G63" s="62">
        <f>IF('DDR4 Config'!$H$1=1,'DDR4 Spec'!G14,IF('DDR4 Config'!$H$1=2,'DDR4 Spec'!R14,IF('DDR4 Config'!$H$1=3,'DDR4 Spec'!AC14,'DDR4 Spec'!AO14)))</f>
        <v>65</v>
      </c>
      <c r="H63" s="62">
        <f>IF('DDR4 Config'!$H$1=1,'DDR4 Spec'!H14,IF('DDR4 Config'!$H$1=2,'DDR4 Spec'!S14,IF('DDR4 Config'!$H$1=3,'DDR4 Spec'!AD14,'DDR4 Spec'!AP14)))</f>
        <v>65</v>
      </c>
      <c r="I63" s="62">
        <f>IF('DDR4 Config'!$H$1=1,'DDR4 Spec'!I14,IF('DDR4 Config'!$H$1=2,'DDR4 Spec'!T14,IF('DDR4 Config'!$H$1=3,'DDR4 Spec'!AE14,'DDR4 Spec'!AQ14)))</f>
        <v>65</v>
      </c>
      <c r="J63" s="62">
        <f>IF('DDR4 Config'!$H$1=1,'DDR4 Spec'!J14,IF('DDR4 Config'!$H$1=2,'DDR4 Spec'!U14,IF('DDR4 Config'!$H$1=3,'DDR4 Spec'!AF14,'DDR4 Spec'!AR14)))</f>
        <v>70</v>
      </c>
      <c r="K63" s="62">
        <f>IF('DDR4 Config'!$H$1=1,'DDR4 Spec'!K14,IF('DDR4 Config'!$H$1=2,'DDR4 Spec'!V14,IF('DDR4 Config'!$H$1=3,'DDR4 Spec'!AG14,'DDR4 Spec'!AS14)))</f>
        <v>70</v>
      </c>
      <c r="L63" s="62" t="str">
        <f>IF('DDR4 Config'!$H$1=1,'DDR4 Spec'!L14,IF('DDR4 Config'!$H$1=2,'DDR4 Spec'!W14,IF('DDR4 Config'!$H$1=3,'DDR4 Spec'!AH14,'DDR4 Spec'!AT14)))</f>
        <v>tbd</v>
      </c>
      <c r="M63" s="62" t="str">
        <f>IF('DDR4 Config'!$H$1=1,'DDR4 Spec'!M14,IF('DDR4 Config'!$H$1=2,'DDR4 Spec'!X14,IF('DDR4 Config'!$H$1=3,'DDR4 Spec'!AI14,'DDR4 Spec'!AU14)))</f>
        <v>tbd</v>
      </c>
      <c r="N63" s="62" t="str">
        <f>IF('DDR4 Config'!$H$1=1,'DDR4 Spec'!N14,IF('DDR4 Config'!$H$1=2,'DDR4 Spec'!Y14,IF('DDR4 Config'!$H$1=3,'DDR4 Spec'!AJ14,'DDR4 Spec'!AV14)))</f>
        <v>tbd</v>
      </c>
      <c r="O63" s="62">
        <f>HLOOKUP($O$55,$E$55:$N$100,9)</f>
        <v>70</v>
      </c>
      <c r="P63" s="62"/>
      <c r="Q63" s="62"/>
      <c r="R63" s="62"/>
      <c r="S63" s="62"/>
      <c r="T63" s="62"/>
      <c r="U63" s="62"/>
      <c r="V63" s="62"/>
      <c r="W63" s="62"/>
      <c r="X63" s="62"/>
      <c r="Y63" s="62"/>
      <c r="Z63" s="62"/>
      <c r="AA63" s="62"/>
      <c r="AB63" s="62"/>
      <c r="AC63" s="62"/>
      <c r="AD63" s="62"/>
      <c r="AE63" s="62"/>
      <c r="AF63" s="62"/>
      <c r="AG63" s="62"/>
      <c r="AH63" s="62"/>
      <c r="AI63" s="62"/>
      <c r="AJ63" s="62"/>
      <c r="AK63" s="62"/>
      <c r="AL63" s="43"/>
    </row>
    <row r="64" spans="2:39" ht="27.75" hidden="1" customHeight="1">
      <c r="B64" s="64"/>
      <c r="C64" s="65"/>
      <c r="D64" s="335" t="s">
        <v>244</v>
      </c>
      <c r="E64" s="62">
        <f>IF('DDR4 Config'!$H$1=1,'DDR4 Spec'!E15,IF('DDR4 Config'!$H$1=2,'DDR4 Spec'!P15,IF('DDR4 Config'!$H$1=3,'DDR4 Spec'!AA15,'DDR4 Spec'!AM15)))</f>
        <v>3</v>
      </c>
      <c r="F64" s="62">
        <f>IF('DDR4 Config'!$H$1=1,'DDR4 Spec'!F15,IF('DDR4 Config'!$H$1=2,'DDR4 Spec'!Q15,IF('DDR4 Config'!$H$1=3,'DDR4 Spec'!AB15,'DDR4 Spec'!AN15)))</f>
        <v>3</v>
      </c>
      <c r="G64" s="62">
        <f>IF('DDR4 Config'!$H$1=1,'DDR4 Spec'!G15,IF('DDR4 Config'!$H$1=2,'DDR4 Spec'!R15,IF('DDR4 Config'!$H$1=3,'DDR4 Spec'!AC15,'DDR4 Spec'!AO15)))</f>
        <v>3</v>
      </c>
      <c r="H64" s="62">
        <f>IF('DDR4 Config'!$H$1=1,'DDR4 Spec'!H15,IF('DDR4 Config'!$H$1=2,'DDR4 Spec'!S15,IF('DDR4 Config'!$H$1=3,'DDR4 Spec'!AD15,'DDR4 Spec'!AP15)))</f>
        <v>3</v>
      </c>
      <c r="I64" s="62">
        <f>IF('DDR4 Config'!$H$1=1,'DDR4 Spec'!I15,IF('DDR4 Config'!$H$1=2,'DDR4 Spec'!T15,IF('DDR4 Config'!$H$1=3,'DDR4 Spec'!AE15,'DDR4 Spec'!AQ15)))</f>
        <v>3</v>
      </c>
      <c r="J64" s="62">
        <f>IF('DDR4 Config'!$H$1=1,'DDR4 Spec'!J15,IF('DDR4 Config'!$H$1=2,'DDR4 Spec'!U15,IF('DDR4 Config'!$H$1=3,'DDR4 Spec'!AF15,'DDR4 Spec'!AR15)))</f>
        <v>3</v>
      </c>
      <c r="K64" s="62">
        <f>IF('DDR4 Config'!$H$1=1,'DDR4 Spec'!K15,IF('DDR4 Config'!$H$1=2,'DDR4 Spec'!V15,IF('DDR4 Config'!$H$1=3,'DDR4 Spec'!AG15,'DDR4 Spec'!AS15)))</f>
        <v>3</v>
      </c>
      <c r="L64" s="62" t="str">
        <f>IF('DDR4 Config'!$H$1=1,'DDR4 Spec'!L15,IF('DDR4 Config'!$H$1=2,'DDR4 Spec'!W15,IF('DDR4 Config'!$H$1=3,'DDR4 Spec'!AH15,'DDR4 Spec'!AT15)))</f>
        <v>tbd</v>
      </c>
      <c r="M64" s="62" t="str">
        <f>IF('DDR4 Config'!$H$1=1,'DDR4 Spec'!M15,IF('DDR4 Config'!$H$1=2,'DDR4 Spec'!X15,IF('DDR4 Config'!$H$1=3,'DDR4 Spec'!AI15,'DDR4 Spec'!AU15)))</f>
        <v>tbd</v>
      </c>
      <c r="N64" s="62" t="str">
        <f>IF('DDR4 Config'!$H$1=1,'DDR4 Spec'!N15,IF('DDR4 Config'!$H$1=2,'DDR4 Spec'!Y15,IF('DDR4 Config'!$H$1=3,'DDR4 Spec'!AJ15,'DDR4 Spec'!AV15)))</f>
        <v>tbd</v>
      </c>
      <c r="O64" s="62">
        <f>HLOOKUP($O$55,$E$55:$N$100,10)</f>
        <v>3</v>
      </c>
      <c r="P64" s="62"/>
      <c r="Q64" s="62"/>
      <c r="R64" s="62"/>
      <c r="S64" s="62"/>
      <c r="T64" s="62"/>
      <c r="U64" s="62"/>
      <c r="V64" s="62"/>
      <c r="W64" s="62"/>
      <c r="X64" s="62"/>
      <c r="Y64" s="62"/>
      <c r="Z64" s="62"/>
      <c r="AA64" s="62"/>
      <c r="AB64" s="62"/>
      <c r="AC64" s="62"/>
      <c r="AD64" s="62"/>
      <c r="AE64" s="62"/>
      <c r="AF64" s="62"/>
      <c r="AG64" s="62"/>
      <c r="AH64" s="62"/>
      <c r="AI64" s="62"/>
      <c r="AJ64" s="62"/>
      <c r="AK64" s="62"/>
      <c r="AL64" s="43"/>
    </row>
    <row r="65" spans="2:38" ht="27.75" hidden="1" customHeight="1">
      <c r="B65" s="64"/>
      <c r="C65" s="65"/>
      <c r="D65" s="335"/>
      <c r="E65" s="62">
        <f>IF('DDR4 Config'!$H$1=1,'DDR4 Spec'!E16,IF('DDR4 Config'!$H$1=2,'DDR4 Spec'!P16,IF('DDR4 Config'!$H$1=3,'DDR4 Spec'!AA16,'DDR4 Spec'!AM16)))</f>
        <v>3.6</v>
      </c>
      <c r="F65" s="62">
        <f>IF('DDR4 Config'!$H$1=1,'DDR4 Spec'!F16,IF('DDR4 Config'!$H$1=2,'DDR4 Spec'!Q16,IF('DDR4 Config'!$H$1=3,'DDR4 Spec'!AB16,'DDR4 Spec'!AN16)))</f>
        <v>3.6</v>
      </c>
      <c r="G65" s="62">
        <f>IF('DDR4 Config'!$H$1=1,'DDR4 Spec'!G16,IF('DDR4 Config'!$H$1=2,'DDR4 Spec'!R16,IF('DDR4 Config'!$H$1=3,'DDR4 Spec'!AC16,'DDR4 Spec'!AO16)))</f>
        <v>3.6</v>
      </c>
      <c r="H65" s="62">
        <f>IF('DDR4 Config'!$H$1=1,'DDR4 Spec'!H16,IF('DDR4 Config'!$H$1=2,'DDR4 Spec'!S16,IF('DDR4 Config'!$H$1=3,'DDR4 Spec'!AD16,'DDR4 Spec'!AP16)))</f>
        <v>3.6</v>
      </c>
      <c r="I65" s="62">
        <f>IF('DDR4 Config'!$H$1=1,'DDR4 Spec'!I16,IF('DDR4 Config'!$H$1=2,'DDR4 Spec'!T16,IF('DDR4 Config'!$H$1=3,'DDR4 Spec'!AE16,'DDR4 Spec'!AQ16)))</f>
        <v>3.6</v>
      </c>
      <c r="J65" s="62">
        <f>IF('DDR4 Config'!$H$1=1,'DDR4 Spec'!J16,IF('DDR4 Config'!$H$1=2,'DDR4 Spec'!U16,IF('DDR4 Config'!$H$1=3,'DDR4 Spec'!AF16,'DDR4 Spec'!AR16)))</f>
        <v>3.6</v>
      </c>
      <c r="K65" s="62">
        <f>IF('DDR4 Config'!$H$1=1,'DDR4 Spec'!K16,IF('DDR4 Config'!$H$1=2,'DDR4 Spec'!V16,IF('DDR4 Config'!$H$1=3,'DDR4 Spec'!AG16,'DDR4 Spec'!AS16)))</f>
        <v>3.6</v>
      </c>
      <c r="L65" s="62" t="str">
        <f>IF('DDR4 Config'!$H$1=1,'DDR4 Spec'!L16,IF('DDR4 Config'!$H$1=2,'DDR4 Spec'!W16,IF('DDR4 Config'!$H$1=3,'DDR4 Spec'!AH16,'DDR4 Spec'!AT16)))</f>
        <v>tbd</v>
      </c>
      <c r="M65" s="62" t="str">
        <f>IF('DDR4 Config'!$H$1=1,'DDR4 Spec'!M16,IF('DDR4 Config'!$H$1=2,'DDR4 Spec'!X16,IF('DDR4 Config'!$H$1=3,'DDR4 Spec'!AI16,'DDR4 Spec'!AU16)))</f>
        <v>tbd</v>
      </c>
      <c r="N65" s="62" t="str">
        <f>IF('DDR4 Config'!$H$1=1,'DDR4 Spec'!N16,IF('DDR4 Config'!$H$1=2,'DDR4 Spec'!Y16,IF('DDR4 Config'!$H$1=3,'DDR4 Spec'!AJ16,'DDR4 Spec'!AV16)))</f>
        <v>tbd</v>
      </c>
      <c r="O65" s="62">
        <f>HLOOKUP($O$55,$E$55:$N$100,11)</f>
        <v>3.6</v>
      </c>
      <c r="P65" s="62"/>
      <c r="Q65" s="62"/>
      <c r="R65" s="62"/>
      <c r="S65" s="62"/>
      <c r="T65" s="62"/>
      <c r="U65" s="62"/>
      <c r="V65" s="62"/>
      <c r="W65" s="62"/>
      <c r="X65" s="62"/>
      <c r="Y65" s="62"/>
      <c r="Z65" s="62"/>
      <c r="AA65" s="62"/>
      <c r="AB65" s="62"/>
      <c r="AC65" s="62"/>
      <c r="AD65" s="62"/>
      <c r="AE65" s="62"/>
      <c r="AF65" s="62"/>
      <c r="AG65" s="62"/>
      <c r="AH65" s="62"/>
      <c r="AI65" s="62"/>
      <c r="AJ65" s="62"/>
      <c r="AK65" s="62"/>
      <c r="AL65" s="43"/>
    </row>
    <row r="66" spans="2:38" ht="27.75" hidden="1" customHeight="1">
      <c r="B66" s="64"/>
      <c r="C66" s="65"/>
      <c r="D66" s="338" t="s">
        <v>188</v>
      </c>
      <c r="E66" s="62">
        <f>IF('DDR4 Config'!$H$1=1,'DDR4 Spec'!E17,IF('DDR4 Config'!$H$1=2,'DDR4 Spec'!P17,IF('DDR4 Config'!$H$1=3,'DDR4 Spec'!AA17,'DDR4 Spec'!AM17)))</f>
        <v>27</v>
      </c>
      <c r="F66" s="62">
        <f>IF('DDR4 Config'!$H$1=1,'DDR4 Spec'!F17,IF('DDR4 Config'!$H$1=2,'DDR4 Spec'!Q17,IF('DDR4 Config'!$H$1=3,'DDR4 Spec'!AB17,'DDR4 Spec'!AN17)))</f>
        <v>27</v>
      </c>
      <c r="G66" s="62">
        <f>IF('DDR4 Config'!$H$1=1,'DDR4 Spec'!G17,IF('DDR4 Config'!$H$1=2,'DDR4 Spec'!R17,IF('DDR4 Config'!$H$1=3,'DDR4 Spec'!AC17,'DDR4 Spec'!AO17)))</f>
        <v>27</v>
      </c>
      <c r="H66" s="62">
        <f>IF('DDR4 Config'!$H$1=1,'DDR4 Spec'!H17,IF('DDR4 Config'!$H$1=2,'DDR4 Spec'!S17,IF('DDR4 Config'!$H$1=3,'DDR4 Spec'!AD17,'DDR4 Spec'!AP17)))</f>
        <v>29</v>
      </c>
      <c r="I66" s="62">
        <f>IF('DDR4 Config'!$H$1=1,'DDR4 Spec'!I17,IF('DDR4 Config'!$H$1=2,'DDR4 Spec'!T17,IF('DDR4 Config'!$H$1=3,'DDR4 Spec'!AE17,'DDR4 Spec'!AQ17)))</f>
        <v>29</v>
      </c>
      <c r="J66" s="62">
        <f>IF('DDR4 Config'!$H$1=1,'DDR4 Spec'!J17,IF('DDR4 Config'!$H$1=2,'DDR4 Spec'!U17,IF('DDR4 Config'!$H$1=3,'DDR4 Spec'!AF17,'DDR4 Spec'!AR17)))</f>
        <v>34</v>
      </c>
      <c r="K66" s="62">
        <f>IF('DDR4 Config'!$H$1=1,'DDR4 Spec'!K17,IF('DDR4 Config'!$H$1=2,'DDR4 Spec'!V17,IF('DDR4 Config'!$H$1=3,'DDR4 Spec'!AG17,'DDR4 Spec'!AS17)))</f>
        <v>34</v>
      </c>
      <c r="L66" s="62" t="str">
        <f>IF('DDR4 Config'!$H$1=1,'DDR4 Spec'!L17,IF('DDR4 Config'!$H$1=2,'DDR4 Spec'!W17,IF('DDR4 Config'!$H$1=3,'DDR4 Spec'!AH17,'DDR4 Spec'!AT17)))</f>
        <v>tbd</v>
      </c>
      <c r="M66" s="62" t="str">
        <f>IF('DDR4 Config'!$H$1=1,'DDR4 Spec'!M17,IF('DDR4 Config'!$H$1=2,'DDR4 Spec'!X17,IF('DDR4 Config'!$H$1=3,'DDR4 Spec'!AI17,'DDR4 Spec'!AU17)))</f>
        <v>tbd</v>
      </c>
      <c r="N66" s="62" t="str">
        <f>IF('DDR4 Config'!$H$1=1,'DDR4 Spec'!N17,IF('DDR4 Config'!$H$1=2,'DDR4 Spec'!Y17,IF('DDR4 Config'!$H$1=3,'DDR4 Spec'!AJ17,'DDR4 Spec'!AV17)))</f>
        <v>tbd</v>
      </c>
      <c r="O66" s="62">
        <f>HLOOKUP($O$55,$E$55:$N$100,12)</f>
        <v>34</v>
      </c>
      <c r="P66" s="62"/>
      <c r="Q66" s="62"/>
      <c r="R66" s="62"/>
      <c r="S66" s="62"/>
      <c r="T66" s="62"/>
      <c r="U66" s="62"/>
      <c r="V66" s="62"/>
      <c r="W66" s="62"/>
      <c r="X66" s="62"/>
      <c r="Y66" s="62"/>
      <c r="Z66" s="62"/>
      <c r="AA66" s="62"/>
      <c r="AB66" s="62"/>
      <c r="AC66" s="62"/>
      <c r="AD66" s="62"/>
      <c r="AE66" s="62"/>
      <c r="AF66" s="62"/>
      <c r="AG66" s="62"/>
      <c r="AH66" s="62"/>
      <c r="AI66" s="62"/>
      <c r="AJ66" s="62"/>
      <c r="AK66" s="62"/>
      <c r="AL66" s="43"/>
    </row>
    <row r="67" spans="2:38" ht="27.75" hidden="1" customHeight="1">
      <c r="B67" s="64"/>
      <c r="C67" s="65"/>
      <c r="D67" s="339"/>
      <c r="E67" s="62">
        <f>IF('DDR4 Config'!$H$1=1,'DDR4 Spec'!E18,IF('DDR4 Config'!$H$1=2,'DDR4 Spec'!P18,IF('DDR4 Config'!$H$1=3,'DDR4 Spec'!AA18,'DDR4 Spec'!AM18)))</f>
        <v>27</v>
      </c>
      <c r="F67" s="62">
        <f>IF('DDR4 Config'!$H$1=1,'DDR4 Spec'!F18,IF('DDR4 Config'!$H$1=2,'DDR4 Spec'!Q18,IF('DDR4 Config'!$H$1=3,'DDR4 Spec'!AB18,'DDR4 Spec'!AN18)))</f>
        <v>27</v>
      </c>
      <c r="G67" s="62">
        <f>IF('DDR4 Config'!$H$1=1,'DDR4 Spec'!G18,IF('DDR4 Config'!$H$1=2,'DDR4 Spec'!R18,IF('DDR4 Config'!$H$1=3,'DDR4 Spec'!AC18,'DDR4 Spec'!AO18)))</f>
        <v>27</v>
      </c>
      <c r="H67" s="62">
        <f>IF('DDR4 Config'!$H$1=1,'DDR4 Spec'!H18,IF('DDR4 Config'!$H$1=2,'DDR4 Spec'!S18,IF('DDR4 Config'!$H$1=3,'DDR4 Spec'!AD18,'DDR4 Spec'!AP18)))</f>
        <v>29</v>
      </c>
      <c r="I67" s="62">
        <f>IF('DDR4 Config'!$H$1=1,'DDR4 Spec'!I18,IF('DDR4 Config'!$H$1=2,'DDR4 Spec'!T18,IF('DDR4 Config'!$H$1=3,'DDR4 Spec'!AE18,'DDR4 Spec'!AQ18)))</f>
        <v>29</v>
      </c>
      <c r="J67" s="62">
        <f>IF('DDR4 Config'!$H$1=1,'DDR4 Spec'!J18,IF('DDR4 Config'!$H$1=2,'DDR4 Spec'!U18,IF('DDR4 Config'!$H$1=3,'DDR4 Spec'!AF18,'DDR4 Spec'!AR18)))</f>
        <v>34</v>
      </c>
      <c r="K67" s="62">
        <f>IF('DDR4 Config'!$H$1=1,'DDR4 Spec'!K18,IF('DDR4 Config'!$H$1=2,'DDR4 Spec'!V18,IF('DDR4 Config'!$H$1=3,'DDR4 Spec'!AG18,'DDR4 Spec'!AS18)))</f>
        <v>34</v>
      </c>
      <c r="L67" s="62" t="str">
        <f>IF('DDR4 Config'!$H$1=1,'DDR4 Spec'!L18,IF('DDR4 Config'!$H$1=2,'DDR4 Spec'!W18,IF('DDR4 Config'!$H$1=3,'DDR4 Spec'!AH18,'DDR4 Spec'!AT18)))</f>
        <v>tbd</v>
      </c>
      <c r="M67" s="62" t="str">
        <f>IF('DDR4 Config'!$H$1=1,'DDR4 Spec'!M18,IF('DDR4 Config'!$H$1=2,'DDR4 Spec'!X18,IF('DDR4 Config'!$H$1=3,'DDR4 Spec'!AI18,'DDR4 Spec'!AU18)))</f>
        <v>tbd</v>
      </c>
      <c r="N67" s="62" t="str">
        <f>IF('DDR4 Config'!$H$1=1,'DDR4 Spec'!N18,IF('DDR4 Config'!$H$1=2,'DDR4 Spec'!Y18,IF('DDR4 Config'!$H$1=3,'DDR4 Spec'!AJ18,'DDR4 Spec'!AV18)))</f>
        <v>tbd</v>
      </c>
      <c r="O67" s="62">
        <f>HLOOKUP($O$55,$E$55:$N$100,13)</f>
        <v>34</v>
      </c>
      <c r="P67" s="62"/>
      <c r="Q67" s="62"/>
      <c r="R67" s="62"/>
      <c r="S67" s="62"/>
      <c r="T67" s="62"/>
      <c r="U67" s="62"/>
      <c r="V67" s="62"/>
      <c r="W67" s="62"/>
      <c r="X67" s="62"/>
      <c r="Y67" s="62"/>
      <c r="Z67" s="62"/>
      <c r="AA67" s="62"/>
      <c r="AB67" s="62"/>
      <c r="AC67" s="62"/>
      <c r="AD67" s="62"/>
      <c r="AE67" s="62"/>
      <c r="AF67" s="62"/>
      <c r="AG67" s="62"/>
      <c r="AH67" s="62"/>
      <c r="AI67" s="62"/>
      <c r="AJ67" s="62"/>
      <c r="AK67" s="62"/>
      <c r="AL67" s="43"/>
    </row>
    <row r="68" spans="2:38" ht="27.75" hidden="1" customHeight="1">
      <c r="B68" s="64"/>
      <c r="C68" s="65"/>
      <c r="D68" s="336" t="s">
        <v>178</v>
      </c>
      <c r="E68" s="62">
        <f>IF('DDR4 Config'!$H$1=1,'DDR4 Spec'!E19,IF('DDR4 Config'!$H$1=2,'DDR4 Spec'!P19,IF('DDR4 Config'!$H$1=3,'DDR4 Spec'!AA19,'DDR4 Spec'!AM19)))</f>
        <v>40</v>
      </c>
      <c r="F68" s="62">
        <f>IF('DDR4 Config'!$H$1=1,'DDR4 Spec'!F19,IF('DDR4 Config'!$H$1=2,'DDR4 Spec'!Q19,IF('DDR4 Config'!$H$1=3,'DDR4 Spec'!AB19,'DDR4 Spec'!AN19)))</f>
        <v>42</v>
      </c>
      <c r="G68" s="62">
        <f>IF('DDR4 Config'!$H$1=1,'DDR4 Spec'!G19,IF('DDR4 Config'!$H$1=2,'DDR4 Spec'!R19,IF('DDR4 Config'!$H$1=3,'DDR4 Spec'!AC19,'DDR4 Spec'!AO19)))</f>
        <v>42</v>
      </c>
      <c r="H68" s="62">
        <f>IF('DDR4 Config'!$H$1=1,'DDR4 Spec'!H19,IF('DDR4 Config'!$H$1=2,'DDR4 Spec'!S19,IF('DDR4 Config'!$H$1=3,'DDR4 Spec'!AD19,'DDR4 Spec'!AP19)))</f>
        <v>45</v>
      </c>
      <c r="I68" s="62">
        <f>IF('DDR4 Config'!$H$1=1,'DDR4 Spec'!I19,IF('DDR4 Config'!$H$1=2,'DDR4 Spec'!T19,IF('DDR4 Config'!$H$1=3,'DDR4 Spec'!AE19,'DDR4 Spec'!AQ19)))</f>
        <v>45</v>
      </c>
      <c r="J68" s="62">
        <f>IF('DDR4 Config'!$H$1=1,'DDR4 Spec'!J19,IF('DDR4 Config'!$H$1=2,'DDR4 Spec'!U19,IF('DDR4 Config'!$H$1=3,'DDR4 Spec'!AF19,'DDR4 Spec'!AR19)))</f>
        <v>50</v>
      </c>
      <c r="K68" s="62">
        <f>IF('DDR4 Config'!$H$1=1,'DDR4 Spec'!K19,IF('DDR4 Config'!$H$1=2,'DDR4 Spec'!V19,IF('DDR4 Config'!$H$1=3,'DDR4 Spec'!AG19,'DDR4 Spec'!AS19)))</f>
        <v>50</v>
      </c>
      <c r="L68" s="62" t="str">
        <f>IF('DDR4 Config'!$H$1=1,'DDR4 Spec'!L19,IF('DDR4 Config'!$H$1=2,'DDR4 Spec'!W19,IF('DDR4 Config'!$H$1=3,'DDR4 Spec'!AH19,'DDR4 Spec'!AT19)))</f>
        <v>tbd</v>
      </c>
      <c r="M68" s="62" t="str">
        <f>IF('DDR4 Config'!$H$1=1,'DDR4 Spec'!M19,IF('DDR4 Config'!$H$1=2,'DDR4 Spec'!X19,IF('DDR4 Config'!$H$1=3,'DDR4 Spec'!AI19,'DDR4 Spec'!AU19)))</f>
        <v>tbd</v>
      </c>
      <c r="N68" s="62" t="str">
        <f>IF('DDR4 Config'!$H$1=1,'DDR4 Spec'!N19,IF('DDR4 Config'!$H$1=2,'DDR4 Spec'!Y19,IF('DDR4 Config'!$H$1=3,'DDR4 Spec'!AJ19,'DDR4 Spec'!AV19)))</f>
        <v>tbd</v>
      </c>
      <c r="O68" s="62">
        <f>HLOOKUP($O$55,$E$55:$N$100,14)</f>
        <v>50</v>
      </c>
      <c r="P68" s="62"/>
      <c r="Q68" s="62"/>
      <c r="R68" s="62"/>
      <c r="S68" s="62"/>
      <c r="T68" s="62"/>
      <c r="U68" s="62"/>
      <c r="V68" s="62"/>
      <c r="W68" s="62"/>
      <c r="X68" s="62"/>
      <c r="Y68" s="62"/>
      <c r="Z68" s="62"/>
      <c r="AA68" s="62"/>
      <c r="AB68" s="62"/>
      <c r="AC68" s="62"/>
      <c r="AD68" s="62"/>
      <c r="AE68" s="62"/>
      <c r="AF68" s="62"/>
      <c r="AG68" s="62"/>
      <c r="AH68" s="62"/>
      <c r="AI68" s="62"/>
      <c r="AJ68" s="62"/>
      <c r="AK68" s="62"/>
      <c r="AL68" s="43"/>
    </row>
    <row r="69" spans="2:38" ht="27.75" hidden="1" customHeight="1">
      <c r="B69" s="64"/>
      <c r="C69" s="65"/>
      <c r="D69" s="337"/>
      <c r="E69" s="62">
        <f>IF('DDR4 Config'!$H$1=1,'DDR4 Spec'!E20,IF('DDR4 Config'!$H$1=2,'DDR4 Spec'!P20,IF('DDR4 Config'!$H$1=3,'DDR4 Spec'!AA20,'DDR4 Spec'!AM20)))</f>
        <v>40</v>
      </c>
      <c r="F69" s="62">
        <f>IF('DDR4 Config'!$H$1=1,'DDR4 Spec'!F20,IF('DDR4 Config'!$H$1=2,'DDR4 Spec'!Q20,IF('DDR4 Config'!$H$1=3,'DDR4 Spec'!AB20,'DDR4 Spec'!AN20)))</f>
        <v>42</v>
      </c>
      <c r="G69" s="62">
        <f>IF('DDR4 Config'!$H$1=1,'DDR4 Spec'!G20,IF('DDR4 Config'!$H$1=2,'DDR4 Spec'!R20,IF('DDR4 Config'!$H$1=3,'DDR4 Spec'!AC20,'DDR4 Spec'!AO20)))</f>
        <v>42</v>
      </c>
      <c r="H69" s="62">
        <f>IF('DDR4 Config'!$H$1=1,'DDR4 Spec'!H20,IF('DDR4 Config'!$H$1=2,'DDR4 Spec'!S20,IF('DDR4 Config'!$H$1=3,'DDR4 Spec'!AD20,'DDR4 Spec'!AP20)))</f>
        <v>45</v>
      </c>
      <c r="I69" s="62">
        <f>IF('DDR4 Config'!$H$1=1,'DDR4 Spec'!I20,IF('DDR4 Config'!$H$1=2,'DDR4 Spec'!T20,IF('DDR4 Config'!$H$1=3,'DDR4 Spec'!AE20,'DDR4 Spec'!AQ20)))</f>
        <v>45</v>
      </c>
      <c r="J69" s="62">
        <f>IF('DDR4 Config'!$H$1=1,'DDR4 Spec'!J20,IF('DDR4 Config'!$H$1=2,'DDR4 Spec'!U20,IF('DDR4 Config'!$H$1=3,'DDR4 Spec'!AF20,'DDR4 Spec'!AR20)))</f>
        <v>50</v>
      </c>
      <c r="K69" s="62">
        <f>IF('DDR4 Config'!$H$1=1,'DDR4 Spec'!K20,IF('DDR4 Config'!$H$1=2,'DDR4 Spec'!V20,IF('DDR4 Config'!$H$1=3,'DDR4 Spec'!AG20,'DDR4 Spec'!AS20)))</f>
        <v>50</v>
      </c>
      <c r="L69" s="62" t="str">
        <f>IF('DDR4 Config'!$H$1=1,'DDR4 Spec'!L20,IF('DDR4 Config'!$H$1=2,'DDR4 Spec'!W20,IF('DDR4 Config'!$H$1=3,'DDR4 Spec'!AH20,'DDR4 Spec'!AT20)))</f>
        <v>tbd</v>
      </c>
      <c r="M69" s="62" t="str">
        <f>IF('DDR4 Config'!$H$1=1,'DDR4 Spec'!M20,IF('DDR4 Config'!$H$1=2,'DDR4 Spec'!X20,IF('DDR4 Config'!$H$1=3,'DDR4 Spec'!AI20,'DDR4 Spec'!AU20)))</f>
        <v>tbd</v>
      </c>
      <c r="N69" s="62" t="str">
        <f>IF('DDR4 Config'!$H$1=1,'DDR4 Spec'!N20,IF('DDR4 Config'!$H$1=2,'DDR4 Spec'!Y20,IF('DDR4 Config'!$H$1=3,'DDR4 Spec'!AJ20,'DDR4 Spec'!AV20)))</f>
        <v>tbd</v>
      </c>
      <c r="O69" s="62">
        <f>HLOOKUP($O$55,$E$55:$N$100,15)</f>
        <v>50</v>
      </c>
      <c r="P69" s="62"/>
      <c r="Q69" s="62"/>
      <c r="R69" s="62"/>
      <c r="S69" s="62"/>
      <c r="T69" s="62"/>
      <c r="U69" s="62"/>
      <c r="V69" s="62"/>
      <c r="W69" s="62"/>
      <c r="X69" s="62"/>
      <c r="Y69" s="62"/>
      <c r="Z69" s="62"/>
      <c r="AA69" s="62"/>
      <c r="AB69" s="62"/>
      <c r="AC69" s="62"/>
      <c r="AD69" s="62"/>
      <c r="AE69" s="62"/>
      <c r="AF69" s="62"/>
      <c r="AG69" s="62"/>
      <c r="AH69" s="62"/>
      <c r="AI69" s="62"/>
      <c r="AJ69" s="62"/>
      <c r="AK69" s="62"/>
      <c r="AL69" s="43"/>
    </row>
    <row r="70" spans="2:38" ht="27.75" hidden="1" customHeight="1">
      <c r="B70" s="64"/>
      <c r="C70" s="65"/>
      <c r="D70" s="335" t="s">
        <v>179</v>
      </c>
      <c r="E70" s="62">
        <f>IF('DDR4 Config'!$H$1=1,'DDR4 Spec'!E21,IF('DDR4 Config'!$H$1=2,'DDR4 Spec'!P21,IF('DDR4 Config'!$H$1=3,'DDR4 Spec'!AA21,'DDR4 Spec'!AM21)))</f>
        <v>40</v>
      </c>
      <c r="F70" s="62">
        <f>IF('DDR4 Config'!$H$1=1,'DDR4 Spec'!F21,IF('DDR4 Config'!$H$1=2,'DDR4 Spec'!Q21,IF('DDR4 Config'!$H$1=3,'DDR4 Spec'!AB21,'DDR4 Spec'!AN21)))</f>
        <v>40</v>
      </c>
      <c r="G70" s="62">
        <f>IF('DDR4 Config'!$H$1=1,'DDR4 Spec'!G21,IF('DDR4 Config'!$H$1=2,'DDR4 Spec'!R21,IF('DDR4 Config'!$H$1=3,'DDR4 Spec'!AC21,'DDR4 Spec'!AO21)))</f>
        <v>40</v>
      </c>
      <c r="H70" s="62">
        <f>IF('DDR4 Config'!$H$1=1,'DDR4 Spec'!H21,IF('DDR4 Config'!$H$1=2,'DDR4 Spec'!S21,IF('DDR4 Config'!$H$1=3,'DDR4 Spec'!AD21,'DDR4 Spec'!AP21)))</f>
        <v>40</v>
      </c>
      <c r="I70" s="62">
        <f>IF('DDR4 Config'!$H$1=1,'DDR4 Spec'!I21,IF('DDR4 Config'!$H$1=2,'DDR4 Spec'!T21,IF('DDR4 Config'!$H$1=3,'DDR4 Spec'!AE21,'DDR4 Spec'!AQ21)))</f>
        <v>40</v>
      </c>
      <c r="J70" s="62">
        <f>IF('DDR4 Config'!$H$1=1,'DDR4 Spec'!J21,IF('DDR4 Config'!$H$1=2,'DDR4 Spec'!U21,IF('DDR4 Config'!$H$1=3,'DDR4 Spec'!AF21,'DDR4 Spec'!AR21)))</f>
        <v>40</v>
      </c>
      <c r="K70" s="62">
        <f>IF('DDR4 Config'!$H$1=1,'DDR4 Spec'!K21,IF('DDR4 Config'!$H$1=2,'DDR4 Spec'!V21,IF('DDR4 Config'!$H$1=3,'DDR4 Spec'!AG21,'DDR4 Spec'!AS21)))</f>
        <v>40</v>
      </c>
      <c r="L70" s="62" t="str">
        <f>IF('DDR4 Config'!$H$1=1,'DDR4 Spec'!L21,IF('DDR4 Config'!$H$1=2,'DDR4 Spec'!W21,IF('DDR4 Config'!$H$1=3,'DDR4 Spec'!AH21,'DDR4 Spec'!AT21)))</f>
        <v>tbd</v>
      </c>
      <c r="M70" s="62" t="str">
        <f>IF('DDR4 Config'!$H$1=1,'DDR4 Spec'!M21,IF('DDR4 Config'!$H$1=2,'DDR4 Spec'!X21,IF('DDR4 Config'!$H$1=3,'DDR4 Spec'!AI21,'DDR4 Spec'!AU21)))</f>
        <v>tbd</v>
      </c>
      <c r="N70" s="62" t="str">
        <f>IF('DDR4 Config'!$H$1=1,'DDR4 Spec'!N21,IF('DDR4 Config'!$H$1=2,'DDR4 Spec'!Y21,IF('DDR4 Config'!$H$1=3,'DDR4 Spec'!AJ21,'DDR4 Spec'!AV21)))</f>
        <v>tbd</v>
      </c>
      <c r="O70" s="62">
        <f>HLOOKUP($O$55,$E$55:$N$100,16)</f>
        <v>40</v>
      </c>
      <c r="P70" s="62"/>
      <c r="Q70" s="62"/>
      <c r="R70" s="62"/>
      <c r="S70" s="62"/>
      <c r="T70" s="62"/>
      <c r="U70" s="62"/>
      <c r="V70" s="62"/>
      <c r="W70" s="62"/>
      <c r="X70" s="62"/>
      <c r="Y70" s="62"/>
      <c r="Z70" s="62"/>
      <c r="AA70" s="62"/>
      <c r="AB70" s="62"/>
      <c r="AC70" s="62"/>
      <c r="AD70" s="62"/>
      <c r="AE70" s="62"/>
      <c r="AF70" s="62"/>
      <c r="AG70" s="62"/>
      <c r="AH70" s="62"/>
      <c r="AI70" s="62"/>
      <c r="AJ70" s="62"/>
      <c r="AK70" s="62"/>
      <c r="AL70" s="43"/>
    </row>
    <row r="71" spans="2:38" ht="27.75" hidden="1" customHeight="1">
      <c r="B71" s="64"/>
      <c r="C71" s="65"/>
      <c r="D71" s="335"/>
      <c r="E71" s="62">
        <f>IF('DDR4 Config'!$H$1=1,'DDR4 Spec'!E22,IF('DDR4 Config'!$H$1=2,'DDR4 Spec'!P22,IF('DDR4 Config'!$H$1=3,'DDR4 Spec'!AA22,'DDR4 Spec'!AM22)))</f>
        <v>40</v>
      </c>
      <c r="F71" s="62">
        <f>IF('DDR4 Config'!$H$1=1,'DDR4 Spec'!F22,IF('DDR4 Config'!$H$1=2,'DDR4 Spec'!Q22,IF('DDR4 Config'!$H$1=3,'DDR4 Spec'!AB22,'DDR4 Spec'!AN22)))</f>
        <v>40</v>
      </c>
      <c r="G71" s="62">
        <f>IF('DDR4 Config'!$H$1=1,'DDR4 Spec'!G22,IF('DDR4 Config'!$H$1=2,'DDR4 Spec'!R22,IF('DDR4 Config'!$H$1=3,'DDR4 Spec'!AC22,'DDR4 Spec'!AO22)))</f>
        <v>40</v>
      </c>
      <c r="H71" s="62">
        <f>IF('DDR4 Config'!$H$1=1,'DDR4 Spec'!H22,IF('DDR4 Config'!$H$1=2,'DDR4 Spec'!S22,IF('DDR4 Config'!$H$1=3,'DDR4 Spec'!AD22,'DDR4 Spec'!AP22)))</f>
        <v>40</v>
      </c>
      <c r="I71" s="62">
        <f>IF('DDR4 Config'!$H$1=1,'DDR4 Spec'!I22,IF('DDR4 Config'!$H$1=2,'DDR4 Spec'!T22,IF('DDR4 Config'!$H$1=3,'DDR4 Spec'!AE22,'DDR4 Spec'!AQ22)))</f>
        <v>40</v>
      </c>
      <c r="J71" s="62">
        <f>IF('DDR4 Config'!$H$1=1,'DDR4 Spec'!J22,IF('DDR4 Config'!$H$1=2,'DDR4 Spec'!U22,IF('DDR4 Config'!$H$1=3,'DDR4 Spec'!AF22,'DDR4 Spec'!AR22)))</f>
        <v>40</v>
      </c>
      <c r="K71" s="62">
        <f>IF('DDR4 Config'!$H$1=1,'DDR4 Spec'!K22,IF('DDR4 Config'!$H$1=2,'DDR4 Spec'!V22,IF('DDR4 Config'!$H$1=3,'DDR4 Spec'!AG22,'DDR4 Spec'!AS22)))</f>
        <v>40</v>
      </c>
      <c r="L71" s="62" t="str">
        <f>IF('DDR4 Config'!$H$1=1,'DDR4 Spec'!L22,IF('DDR4 Config'!$H$1=2,'DDR4 Spec'!W22,IF('DDR4 Config'!$H$1=3,'DDR4 Spec'!AH22,'DDR4 Spec'!AT22)))</f>
        <v>tbd</v>
      </c>
      <c r="M71" s="62" t="str">
        <f>IF('DDR4 Config'!$H$1=1,'DDR4 Spec'!M22,IF('DDR4 Config'!$H$1=2,'DDR4 Spec'!X22,IF('DDR4 Config'!$H$1=3,'DDR4 Spec'!AI22,'DDR4 Spec'!AU22)))</f>
        <v>tbd</v>
      </c>
      <c r="N71" s="62" t="str">
        <f>IF('DDR4 Config'!$H$1=1,'DDR4 Spec'!N22,IF('DDR4 Config'!$H$1=2,'DDR4 Spec'!Y22,IF('DDR4 Config'!$H$1=3,'DDR4 Spec'!AJ22,'DDR4 Spec'!AV22)))</f>
        <v>tbd</v>
      </c>
      <c r="O71" s="62">
        <f>HLOOKUP($O$55,$E$55:$N$100,17)</f>
        <v>40</v>
      </c>
      <c r="P71" s="62"/>
      <c r="Q71" s="62"/>
      <c r="R71" s="62"/>
      <c r="S71" s="62"/>
      <c r="T71" s="62"/>
      <c r="U71" s="62"/>
      <c r="V71" s="62"/>
      <c r="W71" s="62"/>
      <c r="X71" s="62"/>
      <c r="Y71" s="62"/>
      <c r="Z71" s="62"/>
      <c r="AA71" s="62"/>
      <c r="AB71" s="62"/>
      <c r="AC71" s="62"/>
      <c r="AD71" s="62"/>
      <c r="AE71" s="62"/>
      <c r="AF71" s="62"/>
      <c r="AG71" s="62"/>
      <c r="AH71" s="62"/>
      <c r="AI71" s="62"/>
      <c r="AJ71" s="62"/>
      <c r="AK71" s="62"/>
      <c r="AL71" s="43"/>
    </row>
    <row r="72" spans="2:38" ht="27.75" hidden="1" customHeight="1">
      <c r="B72" s="64"/>
      <c r="C72" s="65"/>
      <c r="D72" s="335"/>
      <c r="E72" s="62">
        <f>IF('DDR4 Config'!$H$1=1,'DDR4 Spec'!E23,IF('DDR4 Config'!$H$1=2,'DDR4 Spec'!P23,IF('DDR4 Config'!$H$1=3,'DDR4 Spec'!AA23,'DDR4 Spec'!AM23)))</f>
        <v>40</v>
      </c>
      <c r="F72" s="62">
        <f>IF('DDR4 Config'!$H$1=1,'DDR4 Spec'!F23,IF('DDR4 Config'!$H$1=2,'DDR4 Spec'!Q23,IF('DDR4 Config'!$H$1=3,'DDR4 Spec'!AB23,'DDR4 Spec'!AN23)))</f>
        <v>40</v>
      </c>
      <c r="G72" s="62">
        <f>IF('DDR4 Config'!$H$1=1,'DDR4 Spec'!G23,IF('DDR4 Config'!$H$1=2,'DDR4 Spec'!R23,IF('DDR4 Config'!$H$1=3,'DDR4 Spec'!AC23,'DDR4 Spec'!AO23)))</f>
        <v>40</v>
      </c>
      <c r="H72" s="62">
        <f>IF('DDR4 Config'!$H$1=1,'DDR4 Spec'!H23,IF('DDR4 Config'!$H$1=2,'DDR4 Spec'!S23,IF('DDR4 Config'!$H$1=3,'DDR4 Spec'!AD23,'DDR4 Spec'!AP23)))</f>
        <v>40</v>
      </c>
      <c r="I72" s="62">
        <f>IF('DDR4 Config'!$H$1=1,'DDR4 Spec'!I23,IF('DDR4 Config'!$H$1=2,'DDR4 Spec'!T23,IF('DDR4 Config'!$H$1=3,'DDR4 Spec'!AE23,'DDR4 Spec'!AQ23)))</f>
        <v>40</v>
      </c>
      <c r="J72" s="62">
        <f>IF('DDR4 Config'!$H$1=1,'DDR4 Spec'!J23,IF('DDR4 Config'!$H$1=2,'DDR4 Spec'!U23,IF('DDR4 Config'!$H$1=3,'DDR4 Spec'!AF23,'DDR4 Spec'!AR23)))</f>
        <v>40</v>
      </c>
      <c r="K72" s="62">
        <f>IF('DDR4 Config'!$H$1=1,'DDR4 Spec'!K23,IF('DDR4 Config'!$H$1=2,'DDR4 Spec'!V23,IF('DDR4 Config'!$H$1=3,'DDR4 Spec'!AG23,'DDR4 Spec'!AS23)))</f>
        <v>40</v>
      </c>
      <c r="L72" s="62" t="str">
        <f>IF('DDR4 Config'!$H$1=1,'DDR4 Spec'!L23,IF('DDR4 Config'!$H$1=2,'DDR4 Spec'!W23,IF('DDR4 Config'!$H$1=3,'DDR4 Spec'!AH23,'DDR4 Spec'!AT23)))</f>
        <v>tbd</v>
      </c>
      <c r="M72" s="62" t="str">
        <f>IF('DDR4 Config'!$H$1=1,'DDR4 Spec'!M23,IF('DDR4 Config'!$H$1=2,'DDR4 Spec'!X23,IF('DDR4 Config'!$H$1=3,'DDR4 Spec'!AI23,'DDR4 Spec'!AU23)))</f>
        <v>tbd</v>
      </c>
      <c r="N72" s="62" t="str">
        <f>IF('DDR4 Config'!$H$1=1,'DDR4 Spec'!N23,IF('DDR4 Config'!$H$1=2,'DDR4 Spec'!Y23,IF('DDR4 Config'!$H$1=3,'DDR4 Spec'!AJ23,'DDR4 Spec'!AV23)))</f>
        <v>tbd</v>
      </c>
      <c r="O72" s="62">
        <f>HLOOKUP($O$55,$E$55:$N$100,18)</f>
        <v>40</v>
      </c>
      <c r="P72" s="62"/>
      <c r="Q72" s="62"/>
      <c r="R72" s="62"/>
      <c r="S72" s="62"/>
      <c r="T72" s="62"/>
      <c r="U72" s="62"/>
      <c r="V72" s="62"/>
      <c r="W72" s="62"/>
      <c r="X72" s="62"/>
      <c r="Y72" s="62"/>
      <c r="Z72" s="62"/>
      <c r="AA72" s="62"/>
      <c r="AB72" s="62"/>
      <c r="AC72" s="62"/>
      <c r="AD72" s="62"/>
      <c r="AE72" s="62"/>
      <c r="AF72" s="62"/>
      <c r="AG72" s="62"/>
      <c r="AH72" s="62"/>
      <c r="AI72" s="62"/>
      <c r="AJ72" s="62"/>
      <c r="AK72" s="62"/>
      <c r="AL72" s="43"/>
    </row>
    <row r="73" spans="2:38" ht="27.75" hidden="1" customHeight="1">
      <c r="B73" s="64"/>
      <c r="C73" s="65"/>
      <c r="D73" s="335" t="s">
        <v>180</v>
      </c>
      <c r="E73" s="62">
        <f>IF('DDR4 Config'!$H$1=1,'DDR4 Spec'!E24,IF('DDR4 Config'!$H$1=2,'DDR4 Spec'!P24,IF('DDR4 Config'!$H$1=3,'DDR4 Spec'!AA24,'DDR4 Spec'!AM24)))</f>
        <v>55</v>
      </c>
      <c r="F73" s="62">
        <f>IF('DDR4 Config'!$H$1=1,'DDR4 Spec'!F24,IF('DDR4 Config'!$H$1=2,'DDR4 Spec'!Q24,IF('DDR4 Config'!$H$1=3,'DDR4 Spec'!AB24,'DDR4 Spec'!AN24)))</f>
        <v>55</v>
      </c>
      <c r="G73" s="62">
        <f>IF('DDR4 Config'!$H$1=1,'DDR4 Spec'!G24,IF('DDR4 Config'!$H$1=2,'DDR4 Spec'!R24,IF('DDR4 Config'!$H$1=3,'DDR4 Spec'!AC24,'DDR4 Spec'!AO24)))</f>
        <v>55</v>
      </c>
      <c r="H73" s="62">
        <f>IF('DDR4 Config'!$H$1=1,'DDR4 Spec'!H24,IF('DDR4 Config'!$H$1=2,'DDR4 Spec'!S24,IF('DDR4 Config'!$H$1=3,'DDR4 Spec'!AD24,'DDR4 Spec'!AP24)))</f>
        <v>60</v>
      </c>
      <c r="I73" s="62">
        <f>IF('DDR4 Config'!$H$1=1,'DDR4 Spec'!I24,IF('DDR4 Config'!$H$1=2,'DDR4 Spec'!T24,IF('DDR4 Config'!$H$1=3,'DDR4 Spec'!AE24,'DDR4 Spec'!AQ24)))</f>
        <v>60</v>
      </c>
      <c r="J73" s="62">
        <f>IF('DDR4 Config'!$H$1=1,'DDR4 Spec'!J24,IF('DDR4 Config'!$H$1=2,'DDR4 Spec'!U24,IF('DDR4 Config'!$H$1=3,'DDR4 Spec'!AF24,'DDR4 Spec'!AR24)))</f>
        <v>65</v>
      </c>
      <c r="K73" s="62">
        <f>IF('DDR4 Config'!$H$1=1,'DDR4 Spec'!K24,IF('DDR4 Config'!$H$1=2,'DDR4 Spec'!V24,IF('DDR4 Config'!$H$1=3,'DDR4 Spec'!AG24,'DDR4 Spec'!AS24)))</f>
        <v>65</v>
      </c>
      <c r="L73" s="62" t="str">
        <f>IF('DDR4 Config'!$H$1=1,'DDR4 Spec'!L24,IF('DDR4 Config'!$H$1=2,'DDR4 Spec'!W24,IF('DDR4 Config'!$H$1=3,'DDR4 Spec'!AH24,'DDR4 Spec'!AT24)))</f>
        <v>tbd</v>
      </c>
      <c r="M73" s="62" t="str">
        <f>IF('DDR4 Config'!$H$1=1,'DDR4 Spec'!M24,IF('DDR4 Config'!$H$1=2,'DDR4 Spec'!X24,IF('DDR4 Config'!$H$1=3,'DDR4 Spec'!AI24,'DDR4 Spec'!AU24)))</f>
        <v>tbd</v>
      </c>
      <c r="N73" s="62" t="str">
        <f>IF('DDR4 Config'!$H$1=1,'DDR4 Spec'!N24,IF('DDR4 Config'!$H$1=2,'DDR4 Spec'!Y24,IF('DDR4 Config'!$H$1=3,'DDR4 Spec'!AJ24,'DDR4 Spec'!AV24)))</f>
        <v>tbd</v>
      </c>
      <c r="O73" s="62">
        <f>HLOOKUP($O$55,$E$55:$N$100,19)</f>
        <v>65</v>
      </c>
      <c r="P73" s="62"/>
      <c r="Q73" s="62"/>
      <c r="R73" s="62"/>
      <c r="S73" s="62"/>
      <c r="T73" s="62"/>
      <c r="U73" s="62"/>
      <c r="V73" s="62"/>
      <c r="W73" s="62"/>
      <c r="X73" s="62"/>
      <c r="Y73" s="62"/>
      <c r="Z73" s="62"/>
      <c r="AA73" s="62"/>
      <c r="AB73" s="62"/>
      <c r="AC73" s="62"/>
      <c r="AD73" s="62"/>
      <c r="AE73" s="62"/>
      <c r="AF73" s="62"/>
      <c r="AG73" s="62"/>
      <c r="AH73" s="62"/>
      <c r="AI73" s="62"/>
      <c r="AJ73" s="62"/>
      <c r="AK73" s="62"/>
      <c r="AL73" s="43"/>
    </row>
    <row r="74" spans="2:38" ht="27.75" hidden="1" customHeight="1">
      <c r="B74" s="64"/>
      <c r="C74" s="65"/>
      <c r="D74" s="335"/>
      <c r="E74" s="62">
        <f>IF('DDR4 Config'!$H$1=1,'DDR4 Spec'!E25,IF('DDR4 Config'!$H$1=2,'DDR4 Spec'!P25,IF('DDR4 Config'!$H$1=3,'DDR4 Spec'!AA25,'DDR4 Spec'!AM25)))</f>
        <v>55</v>
      </c>
      <c r="F74" s="62">
        <f>IF('DDR4 Config'!$H$1=1,'DDR4 Spec'!F25,IF('DDR4 Config'!$H$1=2,'DDR4 Spec'!Q25,IF('DDR4 Config'!$H$1=3,'DDR4 Spec'!AB25,'DDR4 Spec'!AN25)))</f>
        <v>55</v>
      </c>
      <c r="G74" s="62">
        <f>IF('DDR4 Config'!$H$1=1,'DDR4 Spec'!G25,IF('DDR4 Config'!$H$1=2,'DDR4 Spec'!R25,IF('DDR4 Config'!$H$1=3,'DDR4 Spec'!AC25,'DDR4 Spec'!AO25)))</f>
        <v>55</v>
      </c>
      <c r="H74" s="62">
        <f>IF('DDR4 Config'!$H$1=1,'DDR4 Spec'!H25,IF('DDR4 Config'!$H$1=2,'DDR4 Spec'!S25,IF('DDR4 Config'!$H$1=3,'DDR4 Spec'!AD25,'DDR4 Spec'!AP25)))</f>
        <v>60</v>
      </c>
      <c r="I74" s="62">
        <f>IF('DDR4 Config'!$H$1=1,'DDR4 Spec'!I25,IF('DDR4 Config'!$H$1=2,'DDR4 Spec'!T25,IF('DDR4 Config'!$H$1=3,'DDR4 Spec'!AE25,'DDR4 Spec'!AQ25)))</f>
        <v>60</v>
      </c>
      <c r="J74" s="62">
        <f>IF('DDR4 Config'!$H$1=1,'DDR4 Spec'!J25,IF('DDR4 Config'!$H$1=2,'DDR4 Spec'!U25,IF('DDR4 Config'!$H$1=3,'DDR4 Spec'!AF25,'DDR4 Spec'!AR25)))</f>
        <v>65</v>
      </c>
      <c r="K74" s="62">
        <f>IF('DDR4 Config'!$H$1=1,'DDR4 Spec'!K25,IF('DDR4 Config'!$H$1=2,'DDR4 Spec'!V25,IF('DDR4 Config'!$H$1=3,'DDR4 Spec'!AG25,'DDR4 Spec'!AS25)))</f>
        <v>65</v>
      </c>
      <c r="L74" s="62" t="str">
        <f>IF('DDR4 Config'!$H$1=1,'DDR4 Spec'!L25,IF('DDR4 Config'!$H$1=2,'DDR4 Spec'!W25,IF('DDR4 Config'!$H$1=3,'DDR4 Spec'!AH25,'DDR4 Spec'!AT25)))</f>
        <v>tbd</v>
      </c>
      <c r="M74" s="62" t="str">
        <f>IF('DDR4 Config'!$H$1=1,'DDR4 Spec'!M25,IF('DDR4 Config'!$H$1=2,'DDR4 Spec'!X25,IF('DDR4 Config'!$H$1=3,'DDR4 Spec'!AI25,'DDR4 Spec'!AU25)))</f>
        <v>tbd</v>
      </c>
      <c r="N74" s="62" t="str">
        <f>IF('DDR4 Config'!$H$1=1,'DDR4 Spec'!N25,IF('DDR4 Config'!$H$1=2,'DDR4 Spec'!Y25,IF('DDR4 Config'!$H$1=3,'DDR4 Spec'!AJ25,'DDR4 Spec'!AV25)))</f>
        <v>tbd</v>
      </c>
      <c r="O74" s="62">
        <f>HLOOKUP($O$55,$E$55:$N$100,20)</f>
        <v>65</v>
      </c>
      <c r="P74" s="62"/>
      <c r="Q74" s="62"/>
      <c r="R74" s="62"/>
      <c r="S74" s="62"/>
      <c r="T74" s="62"/>
      <c r="U74" s="62"/>
      <c r="V74" s="62"/>
      <c r="W74" s="62"/>
      <c r="X74" s="62"/>
      <c r="Y74" s="62"/>
      <c r="Z74" s="62"/>
      <c r="AA74" s="62"/>
      <c r="AB74" s="62"/>
      <c r="AC74" s="62"/>
      <c r="AD74" s="62"/>
      <c r="AE74" s="62"/>
      <c r="AF74" s="62"/>
      <c r="AG74" s="62"/>
      <c r="AH74" s="62"/>
      <c r="AI74" s="62"/>
      <c r="AJ74" s="62"/>
      <c r="AK74" s="62"/>
      <c r="AL74" s="43"/>
    </row>
    <row r="75" spans="2:38" ht="27.75" hidden="1" customHeight="1">
      <c r="B75" s="64"/>
      <c r="C75" s="65"/>
      <c r="D75" s="335"/>
      <c r="E75" s="62">
        <f>IF('DDR4 Config'!$H$1=1,'DDR4 Spec'!E26,IF('DDR4 Config'!$H$1=2,'DDR4 Spec'!P26,IF('DDR4 Config'!$H$1=3,'DDR4 Spec'!AA26,'DDR4 Spec'!AM26)))</f>
        <v>55</v>
      </c>
      <c r="F75" s="62">
        <f>IF('DDR4 Config'!$H$1=1,'DDR4 Spec'!F26,IF('DDR4 Config'!$H$1=2,'DDR4 Spec'!Q26,IF('DDR4 Config'!$H$1=3,'DDR4 Spec'!AB26,'DDR4 Spec'!AN26)))</f>
        <v>55</v>
      </c>
      <c r="G75" s="62">
        <f>IF('DDR4 Config'!$H$1=1,'DDR4 Spec'!G26,IF('DDR4 Config'!$H$1=2,'DDR4 Spec'!R26,IF('DDR4 Config'!$H$1=3,'DDR4 Spec'!AC26,'DDR4 Spec'!AO26)))</f>
        <v>55</v>
      </c>
      <c r="H75" s="62">
        <f>IF('DDR4 Config'!$H$1=1,'DDR4 Spec'!H26,IF('DDR4 Config'!$H$1=2,'DDR4 Spec'!S26,IF('DDR4 Config'!$H$1=3,'DDR4 Spec'!AD26,'DDR4 Spec'!AP26)))</f>
        <v>60</v>
      </c>
      <c r="I75" s="62">
        <f>IF('DDR4 Config'!$H$1=1,'DDR4 Spec'!I26,IF('DDR4 Config'!$H$1=2,'DDR4 Spec'!T26,IF('DDR4 Config'!$H$1=3,'DDR4 Spec'!AE26,'DDR4 Spec'!AQ26)))</f>
        <v>60</v>
      </c>
      <c r="J75" s="62">
        <f>IF('DDR4 Config'!$H$1=1,'DDR4 Spec'!J26,IF('DDR4 Config'!$H$1=2,'DDR4 Spec'!U26,IF('DDR4 Config'!$H$1=3,'DDR4 Spec'!AF26,'DDR4 Spec'!AR26)))</f>
        <v>65</v>
      </c>
      <c r="K75" s="62">
        <f>IF('DDR4 Config'!$H$1=1,'DDR4 Spec'!K26,IF('DDR4 Config'!$H$1=2,'DDR4 Spec'!V26,IF('DDR4 Config'!$H$1=3,'DDR4 Spec'!AG26,'DDR4 Spec'!AS26)))</f>
        <v>65</v>
      </c>
      <c r="L75" s="62" t="str">
        <f>IF('DDR4 Config'!$H$1=1,'DDR4 Spec'!L26,IF('DDR4 Config'!$H$1=2,'DDR4 Spec'!W26,IF('DDR4 Config'!$H$1=3,'DDR4 Spec'!AH26,'DDR4 Spec'!AT26)))</f>
        <v>tbd</v>
      </c>
      <c r="M75" s="62" t="str">
        <f>IF('DDR4 Config'!$H$1=1,'DDR4 Spec'!M26,IF('DDR4 Config'!$H$1=2,'DDR4 Spec'!X26,IF('DDR4 Config'!$H$1=3,'DDR4 Spec'!AI26,'DDR4 Spec'!AU26)))</f>
        <v>tbd</v>
      </c>
      <c r="N75" s="62" t="str">
        <f>IF('DDR4 Config'!$H$1=1,'DDR4 Spec'!N26,IF('DDR4 Config'!$H$1=2,'DDR4 Spec'!Y26,IF('DDR4 Config'!$H$1=3,'DDR4 Spec'!AJ26,'DDR4 Spec'!AV26)))</f>
        <v>tbd</v>
      </c>
      <c r="O75" s="62">
        <f>HLOOKUP($O$55,$E$55:$N$100,21)</f>
        <v>65</v>
      </c>
      <c r="P75" s="62"/>
      <c r="Q75" s="62"/>
      <c r="R75" s="62"/>
      <c r="S75" s="62"/>
      <c r="T75" s="62"/>
      <c r="U75" s="62"/>
      <c r="V75" s="62"/>
      <c r="W75" s="62"/>
      <c r="X75" s="62"/>
      <c r="Y75" s="62"/>
      <c r="Z75" s="62"/>
      <c r="AA75" s="62"/>
      <c r="AB75" s="62"/>
      <c r="AC75" s="62"/>
      <c r="AD75" s="62"/>
      <c r="AE75" s="62"/>
      <c r="AF75" s="62"/>
      <c r="AG75" s="62"/>
      <c r="AH75" s="62"/>
      <c r="AI75" s="62"/>
      <c r="AJ75" s="62"/>
      <c r="AK75" s="62"/>
      <c r="AL75" s="43"/>
    </row>
    <row r="76" spans="2:38" ht="27.75" hidden="1" customHeight="1">
      <c r="B76" s="64"/>
      <c r="C76" s="65"/>
      <c r="D76" s="335" t="s">
        <v>269</v>
      </c>
      <c r="E76" s="62">
        <f>IF('DDR4 Config'!$H$1=1,'DDR4 Spec'!E27,IF('DDR4 Config'!$H$1=2,'DDR4 Spec'!P27,IF('DDR4 Config'!$H$1=3,'DDR4 Spec'!AA27,'DDR4 Spec'!AM27)))</f>
        <v>3</v>
      </c>
      <c r="F76" s="62">
        <f>IF('DDR4 Config'!$H$1=1,'DDR4 Spec'!F27,IF('DDR4 Config'!$H$1=2,'DDR4 Spec'!Q27,IF('DDR4 Config'!$H$1=3,'DDR4 Spec'!AB27,'DDR4 Spec'!AN27)))</f>
        <v>3</v>
      </c>
      <c r="G76" s="62">
        <f>IF('DDR4 Config'!$H$1=1,'DDR4 Spec'!G27,IF('DDR4 Config'!$H$1=2,'DDR4 Spec'!R27,IF('DDR4 Config'!$H$1=3,'DDR4 Spec'!AC27,'DDR4 Spec'!AO27)))</f>
        <v>3</v>
      </c>
      <c r="H76" s="62">
        <f>IF('DDR4 Config'!$H$1=1,'DDR4 Spec'!H27,IF('DDR4 Config'!$H$1=2,'DDR4 Spec'!S27,IF('DDR4 Config'!$H$1=3,'DDR4 Spec'!AD27,'DDR4 Spec'!AP27)))</f>
        <v>3</v>
      </c>
      <c r="I76" s="62">
        <f>IF('DDR4 Config'!$H$1=1,'DDR4 Spec'!I27,IF('DDR4 Config'!$H$1=2,'DDR4 Spec'!T27,IF('DDR4 Config'!$H$1=3,'DDR4 Spec'!AE27,'DDR4 Spec'!AQ27)))</f>
        <v>3</v>
      </c>
      <c r="J76" s="62">
        <f>IF('DDR4 Config'!$H$1=1,'DDR4 Spec'!J27,IF('DDR4 Config'!$H$1=2,'DDR4 Spec'!U27,IF('DDR4 Config'!$H$1=3,'DDR4 Spec'!AF27,'DDR4 Spec'!AR27)))</f>
        <v>3</v>
      </c>
      <c r="K76" s="62">
        <f>IF('DDR4 Config'!$H$1=1,'DDR4 Spec'!K27,IF('DDR4 Config'!$H$1=2,'DDR4 Spec'!V27,IF('DDR4 Config'!$H$1=3,'DDR4 Spec'!AG27,'DDR4 Spec'!AS27)))</f>
        <v>3</v>
      </c>
      <c r="L76" s="62" t="str">
        <f>IF('DDR4 Config'!$H$1=1,'DDR4 Spec'!L27,IF('DDR4 Config'!$H$1=2,'DDR4 Spec'!W27,IF('DDR4 Config'!$H$1=3,'DDR4 Spec'!AH27,'DDR4 Spec'!AT27)))</f>
        <v>tbd</v>
      </c>
      <c r="M76" s="62" t="str">
        <f>IF('DDR4 Config'!$H$1=1,'DDR4 Spec'!M27,IF('DDR4 Config'!$H$1=2,'DDR4 Spec'!X27,IF('DDR4 Config'!$H$1=3,'DDR4 Spec'!AI27,'DDR4 Spec'!AU27)))</f>
        <v>tbd</v>
      </c>
      <c r="N76" s="62" t="str">
        <f>IF('DDR4 Config'!$H$1=1,'DDR4 Spec'!N27,IF('DDR4 Config'!$H$1=2,'DDR4 Spec'!Y27,IF('DDR4 Config'!$H$1=3,'DDR4 Spec'!AJ27,'DDR4 Spec'!AV27)))</f>
        <v>tbd</v>
      </c>
      <c r="O76" s="62">
        <f>HLOOKUP($O$55,$E$55:$N$100,22)</f>
        <v>3</v>
      </c>
      <c r="P76" s="62"/>
      <c r="Q76" s="62"/>
      <c r="R76" s="62"/>
      <c r="S76" s="62"/>
      <c r="T76" s="62"/>
      <c r="U76" s="62"/>
      <c r="V76" s="62"/>
      <c r="W76" s="62"/>
      <c r="X76" s="62"/>
      <c r="Y76" s="62"/>
      <c r="Z76" s="62"/>
      <c r="AA76" s="62"/>
      <c r="AB76" s="62"/>
      <c r="AC76" s="62"/>
      <c r="AD76" s="62"/>
      <c r="AE76" s="62"/>
      <c r="AF76" s="62"/>
      <c r="AG76" s="62"/>
      <c r="AH76" s="62"/>
      <c r="AI76" s="62"/>
      <c r="AJ76" s="62"/>
      <c r="AK76" s="62"/>
      <c r="AL76" s="43"/>
    </row>
    <row r="77" spans="2:38" ht="27.75" hidden="1" customHeight="1">
      <c r="B77" s="64"/>
      <c r="C77" s="65"/>
      <c r="D77" s="335"/>
      <c r="E77" s="62">
        <f>IF('DDR4 Config'!$H$1=1,'DDR4 Spec'!E28,IF('DDR4 Config'!$H$1=2,'DDR4 Spec'!P28,IF('DDR4 Config'!$H$1=3,'DDR4 Spec'!AA28,'DDR4 Spec'!AM28)))</f>
        <v>3</v>
      </c>
      <c r="F77" s="62">
        <f>IF('DDR4 Config'!$H$1=1,'DDR4 Spec'!F28,IF('DDR4 Config'!$H$1=2,'DDR4 Spec'!Q28,IF('DDR4 Config'!$H$1=3,'DDR4 Spec'!AB28,'DDR4 Spec'!AN28)))</f>
        <v>3</v>
      </c>
      <c r="G77" s="62">
        <f>IF('DDR4 Config'!$H$1=1,'DDR4 Spec'!G28,IF('DDR4 Config'!$H$1=2,'DDR4 Spec'!R28,IF('DDR4 Config'!$H$1=3,'DDR4 Spec'!AC28,'DDR4 Spec'!AO28)))</f>
        <v>3</v>
      </c>
      <c r="H77" s="62">
        <f>IF('DDR4 Config'!$H$1=1,'DDR4 Spec'!H28,IF('DDR4 Config'!$H$1=2,'DDR4 Spec'!S28,IF('DDR4 Config'!$H$1=3,'DDR4 Spec'!AD28,'DDR4 Spec'!AP28)))</f>
        <v>3</v>
      </c>
      <c r="I77" s="62">
        <f>IF('DDR4 Config'!$H$1=1,'DDR4 Spec'!I28,IF('DDR4 Config'!$H$1=2,'DDR4 Spec'!T28,IF('DDR4 Config'!$H$1=3,'DDR4 Spec'!AE28,'DDR4 Spec'!AQ28)))</f>
        <v>3</v>
      </c>
      <c r="J77" s="62">
        <f>IF('DDR4 Config'!$H$1=1,'DDR4 Spec'!J28,IF('DDR4 Config'!$H$1=2,'DDR4 Spec'!U28,IF('DDR4 Config'!$H$1=3,'DDR4 Spec'!AF28,'DDR4 Spec'!AR28)))</f>
        <v>3</v>
      </c>
      <c r="K77" s="62">
        <f>IF('DDR4 Config'!$H$1=1,'DDR4 Spec'!K28,IF('DDR4 Config'!$H$1=2,'DDR4 Spec'!V28,IF('DDR4 Config'!$H$1=3,'DDR4 Spec'!AG28,'DDR4 Spec'!AS28)))</f>
        <v>3</v>
      </c>
      <c r="L77" s="62" t="str">
        <f>IF('DDR4 Config'!$H$1=1,'DDR4 Spec'!L28,IF('DDR4 Config'!$H$1=2,'DDR4 Spec'!W28,IF('DDR4 Config'!$H$1=3,'DDR4 Spec'!AH28,'DDR4 Spec'!AT28)))</f>
        <v>tbd</v>
      </c>
      <c r="M77" s="62" t="str">
        <f>IF('DDR4 Config'!$H$1=1,'DDR4 Spec'!M28,IF('DDR4 Config'!$H$1=2,'DDR4 Spec'!X28,IF('DDR4 Config'!$H$1=3,'DDR4 Spec'!AI28,'DDR4 Spec'!AU28)))</f>
        <v>tbd</v>
      </c>
      <c r="N77" s="62" t="str">
        <f>IF('DDR4 Config'!$H$1=1,'DDR4 Spec'!N28,IF('DDR4 Config'!$H$1=2,'DDR4 Spec'!Y28,IF('DDR4 Config'!$H$1=3,'DDR4 Spec'!AJ28,'DDR4 Spec'!AV28)))</f>
        <v>tbd</v>
      </c>
      <c r="O77" s="62">
        <f>HLOOKUP($O$55,$E$55:$N$100,23)</f>
        <v>3</v>
      </c>
      <c r="P77" s="62"/>
      <c r="Q77" s="62"/>
      <c r="R77" s="62"/>
      <c r="S77" s="62"/>
      <c r="T77" s="62"/>
      <c r="U77" s="62"/>
      <c r="V77" s="62"/>
      <c r="W77" s="62"/>
      <c r="X77" s="62"/>
      <c r="Y77" s="62"/>
      <c r="Z77" s="62"/>
      <c r="AA77" s="62"/>
      <c r="AB77" s="62"/>
      <c r="AC77" s="62"/>
      <c r="AD77" s="62"/>
      <c r="AE77" s="62"/>
      <c r="AF77" s="62"/>
      <c r="AG77" s="62"/>
      <c r="AH77" s="62"/>
      <c r="AI77" s="62"/>
      <c r="AJ77" s="62"/>
      <c r="AK77" s="62"/>
      <c r="AL77" s="43"/>
    </row>
    <row r="78" spans="2:38" ht="27.75" hidden="1" customHeight="1">
      <c r="B78" s="64"/>
      <c r="C78" s="65"/>
      <c r="D78" s="335" t="s">
        <v>181</v>
      </c>
      <c r="E78" s="62">
        <f>IF('DDR4 Config'!$H$1=1,'DDR4 Spec'!E29,IF('DDR4 Config'!$H$1=2,'DDR4 Spec'!P29,IF('DDR4 Config'!$H$1=3,'DDR4 Spec'!AA29,'DDR4 Spec'!AM29)))</f>
        <v>125</v>
      </c>
      <c r="F78" s="62">
        <f>IF('DDR4 Config'!$H$1=1,'DDR4 Spec'!F29,IF('DDR4 Config'!$H$1=2,'DDR4 Spec'!Q29,IF('DDR4 Config'!$H$1=3,'DDR4 Spec'!AB29,'DDR4 Spec'!AN29)))</f>
        <v>135</v>
      </c>
      <c r="G78" s="62">
        <f>IF('DDR4 Config'!$H$1=1,'DDR4 Spec'!G29,IF('DDR4 Config'!$H$1=2,'DDR4 Spec'!R29,IF('DDR4 Config'!$H$1=3,'DDR4 Spec'!AC29,'DDR4 Spec'!AO29)))</f>
        <v>135</v>
      </c>
      <c r="H78" s="62">
        <f>IF('DDR4 Config'!$H$1=1,'DDR4 Spec'!H29,IF('DDR4 Config'!$H$1=2,'DDR4 Spec'!S29,IF('DDR4 Config'!$H$1=3,'DDR4 Spec'!AD29,'DDR4 Spec'!AP29)))</f>
        <v>145</v>
      </c>
      <c r="I78" s="62">
        <f>IF('DDR4 Config'!$H$1=1,'DDR4 Spec'!I29,IF('DDR4 Config'!$H$1=2,'DDR4 Spec'!T29,IF('DDR4 Config'!$H$1=3,'DDR4 Spec'!AE29,'DDR4 Spec'!AQ29)))</f>
        <v>145</v>
      </c>
      <c r="J78" s="62">
        <f>IF('DDR4 Config'!$H$1=1,'DDR4 Spec'!J29,IF('DDR4 Config'!$H$1=2,'DDR4 Spec'!U29,IF('DDR4 Config'!$H$1=3,'DDR4 Spec'!AF29,'DDR4 Spec'!AR29)))</f>
        <v>170</v>
      </c>
      <c r="K78" s="62">
        <f>IF('DDR4 Config'!$H$1=1,'DDR4 Spec'!K29,IF('DDR4 Config'!$H$1=2,'DDR4 Spec'!V29,IF('DDR4 Config'!$H$1=3,'DDR4 Spec'!AG29,'DDR4 Spec'!AS29)))</f>
        <v>170</v>
      </c>
      <c r="L78" s="62" t="str">
        <f>IF('DDR4 Config'!$H$1=1,'DDR4 Spec'!L29,IF('DDR4 Config'!$H$1=2,'DDR4 Spec'!W29,IF('DDR4 Config'!$H$1=3,'DDR4 Spec'!AH29,'DDR4 Spec'!AT29)))</f>
        <v>tbd</v>
      </c>
      <c r="M78" s="62" t="str">
        <f>IF('DDR4 Config'!$H$1=1,'DDR4 Spec'!M29,IF('DDR4 Config'!$H$1=2,'DDR4 Spec'!X29,IF('DDR4 Config'!$H$1=3,'DDR4 Spec'!AI29,'DDR4 Spec'!AU29)))</f>
        <v>tbd</v>
      </c>
      <c r="N78" s="62" t="str">
        <f>IF('DDR4 Config'!$H$1=1,'DDR4 Spec'!N29,IF('DDR4 Config'!$H$1=2,'DDR4 Spec'!Y29,IF('DDR4 Config'!$H$1=3,'DDR4 Spec'!AJ29,'DDR4 Spec'!AV29)))</f>
        <v>tbd</v>
      </c>
      <c r="O78" s="62">
        <f>HLOOKUP($O$55,$E$55:$N$100,24)</f>
        <v>170</v>
      </c>
      <c r="P78" s="62"/>
      <c r="Q78" s="62"/>
      <c r="R78" s="62"/>
      <c r="S78" s="62"/>
      <c r="T78" s="62"/>
      <c r="U78" s="62"/>
      <c r="V78" s="62"/>
      <c r="W78" s="62"/>
      <c r="X78" s="62"/>
      <c r="Y78" s="62"/>
      <c r="Z78" s="62"/>
      <c r="AA78" s="62"/>
      <c r="AB78" s="62"/>
      <c r="AC78" s="62"/>
      <c r="AD78" s="62"/>
      <c r="AE78" s="62"/>
      <c r="AF78" s="62"/>
      <c r="AG78" s="62"/>
      <c r="AH78" s="62"/>
      <c r="AI78" s="62"/>
      <c r="AJ78" s="62"/>
      <c r="AK78" s="62"/>
      <c r="AL78" s="43"/>
    </row>
    <row r="79" spans="2:38" ht="27.75" hidden="1" customHeight="1">
      <c r="B79" s="64"/>
      <c r="C79" s="65"/>
      <c r="D79" s="335"/>
      <c r="E79" s="62">
        <f>IF('DDR4 Config'!$H$1=1,'DDR4 Spec'!E30,IF('DDR4 Config'!$H$1=2,'DDR4 Spec'!P30,IF('DDR4 Config'!$H$1=3,'DDR4 Spec'!AA30,'DDR4 Spec'!AM30)))</f>
        <v>125</v>
      </c>
      <c r="F79" s="62">
        <f>IF('DDR4 Config'!$H$1=1,'DDR4 Spec'!F30,IF('DDR4 Config'!$H$1=2,'DDR4 Spec'!Q30,IF('DDR4 Config'!$H$1=3,'DDR4 Spec'!AB30,'DDR4 Spec'!AN30)))</f>
        <v>135</v>
      </c>
      <c r="G79" s="62">
        <f>IF('DDR4 Config'!$H$1=1,'DDR4 Spec'!G30,IF('DDR4 Config'!$H$1=2,'DDR4 Spec'!R30,IF('DDR4 Config'!$H$1=3,'DDR4 Spec'!AC30,'DDR4 Spec'!AO30)))</f>
        <v>135</v>
      </c>
      <c r="H79" s="62">
        <f>IF('DDR4 Config'!$H$1=1,'DDR4 Spec'!H30,IF('DDR4 Config'!$H$1=2,'DDR4 Spec'!S30,IF('DDR4 Config'!$H$1=3,'DDR4 Spec'!AD30,'DDR4 Spec'!AP30)))</f>
        <v>145</v>
      </c>
      <c r="I79" s="62">
        <f>IF('DDR4 Config'!$H$1=1,'DDR4 Spec'!I30,IF('DDR4 Config'!$H$1=2,'DDR4 Spec'!T30,IF('DDR4 Config'!$H$1=3,'DDR4 Spec'!AE30,'DDR4 Spec'!AQ30)))</f>
        <v>145</v>
      </c>
      <c r="J79" s="62">
        <f>IF('DDR4 Config'!$H$1=1,'DDR4 Spec'!J30,IF('DDR4 Config'!$H$1=2,'DDR4 Spec'!U30,IF('DDR4 Config'!$H$1=3,'DDR4 Spec'!AF30,'DDR4 Spec'!AR30)))</f>
        <v>170</v>
      </c>
      <c r="K79" s="62">
        <f>IF('DDR4 Config'!$H$1=1,'DDR4 Spec'!K30,IF('DDR4 Config'!$H$1=2,'DDR4 Spec'!V30,IF('DDR4 Config'!$H$1=3,'DDR4 Spec'!AG30,'DDR4 Spec'!AS30)))</f>
        <v>170</v>
      </c>
      <c r="L79" s="62" t="str">
        <f>IF('DDR4 Config'!$H$1=1,'DDR4 Spec'!L30,IF('DDR4 Config'!$H$1=2,'DDR4 Spec'!W30,IF('DDR4 Config'!$H$1=3,'DDR4 Spec'!AH30,'DDR4 Spec'!AT30)))</f>
        <v>tbd</v>
      </c>
      <c r="M79" s="62" t="str">
        <f>IF('DDR4 Config'!$H$1=1,'DDR4 Spec'!M30,IF('DDR4 Config'!$H$1=2,'DDR4 Spec'!X30,IF('DDR4 Config'!$H$1=3,'DDR4 Spec'!AI30,'DDR4 Spec'!AU30)))</f>
        <v>tbd</v>
      </c>
      <c r="N79" s="62" t="str">
        <f>IF('DDR4 Config'!$H$1=1,'DDR4 Spec'!N30,IF('DDR4 Config'!$H$1=2,'DDR4 Spec'!Y30,IF('DDR4 Config'!$H$1=3,'DDR4 Spec'!AJ30,'DDR4 Spec'!AV30)))</f>
        <v>tbd</v>
      </c>
      <c r="O79" s="62">
        <f>HLOOKUP($O$55,$E$55:$N$100,25)</f>
        <v>170</v>
      </c>
      <c r="P79" s="62"/>
      <c r="Q79" s="62"/>
      <c r="R79" s="62"/>
      <c r="S79" s="62"/>
      <c r="T79" s="62"/>
      <c r="U79" s="62"/>
      <c r="V79" s="62"/>
      <c r="W79" s="62"/>
      <c r="X79" s="62"/>
      <c r="Y79" s="62"/>
      <c r="Z79" s="62"/>
      <c r="AA79" s="62"/>
      <c r="AB79" s="62"/>
      <c r="AC79" s="62"/>
      <c r="AD79" s="62"/>
      <c r="AE79" s="62"/>
      <c r="AF79" s="62"/>
      <c r="AG79" s="62"/>
      <c r="AH79" s="62"/>
      <c r="AI79" s="62"/>
      <c r="AJ79" s="62"/>
      <c r="AK79" s="62"/>
      <c r="AL79" s="43"/>
    </row>
    <row r="80" spans="2:38" ht="27.75" hidden="1" customHeight="1">
      <c r="B80" s="64"/>
      <c r="C80" s="65"/>
      <c r="D80" s="335"/>
      <c r="E80" s="62">
        <f>IF('DDR4 Config'!$H$1=1,'DDR4 Spec'!E31,IF('DDR4 Config'!$H$1=2,'DDR4 Spec'!P31,IF('DDR4 Config'!$H$1=3,'DDR4 Spec'!AA31,'DDR4 Spec'!AM31)))</f>
        <v>180</v>
      </c>
      <c r="F80" s="62">
        <f>IF('DDR4 Config'!$H$1=1,'DDR4 Spec'!F31,IF('DDR4 Config'!$H$1=2,'DDR4 Spec'!Q31,IF('DDR4 Config'!$H$1=3,'DDR4 Spec'!AB31,'DDR4 Spec'!AN31)))</f>
        <v>195</v>
      </c>
      <c r="G80" s="62">
        <f>IF('DDR4 Config'!$H$1=1,'DDR4 Spec'!G31,IF('DDR4 Config'!$H$1=2,'DDR4 Spec'!R31,IF('DDR4 Config'!$H$1=3,'DDR4 Spec'!AC31,'DDR4 Spec'!AO31)))</f>
        <v>195</v>
      </c>
      <c r="H80" s="62">
        <f>IF('DDR4 Config'!$H$1=1,'DDR4 Spec'!H31,IF('DDR4 Config'!$H$1=2,'DDR4 Spec'!S31,IF('DDR4 Config'!$H$1=3,'DDR4 Spec'!AD31,'DDR4 Spec'!AP31)))</f>
        <v>205</v>
      </c>
      <c r="I80" s="62">
        <f>IF('DDR4 Config'!$H$1=1,'DDR4 Spec'!I31,IF('DDR4 Config'!$H$1=2,'DDR4 Spec'!T31,IF('DDR4 Config'!$H$1=3,'DDR4 Spec'!AE31,'DDR4 Spec'!AQ31)))</f>
        <v>205</v>
      </c>
      <c r="J80" s="62">
        <f>IF('DDR4 Config'!$H$1=1,'DDR4 Spec'!J31,IF('DDR4 Config'!$H$1=2,'DDR4 Spec'!U31,IF('DDR4 Config'!$H$1=3,'DDR4 Spec'!AF31,'DDR4 Spec'!AR31)))</f>
        <v>225</v>
      </c>
      <c r="K80" s="62">
        <f>IF('DDR4 Config'!$H$1=1,'DDR4 Spec'!K31,IF('DDR4 Config'!$H$1=2,'DDR4 Spec'!V31,IF('DDR4 Config'!$H$1=3,'DDR4 Spec'!AG31,'DDR4 Spec'!AS31)))</f>
        <v>225</v>
      </c>
      <c r="L80" s="62" t="str">
        <f>IF('DDR4 Config'!$H$1=1,'DDR4 Spec'!L31,IF('DDR4 Config'!$H$1=2,'DDR4 Spec'!W31,IF('DDR4 Config'!$H$1=3,'DDR4 Spec'!AH31,'DDR4 Spec'!AT31)))</f>
        <v>tbd</v>
      </c>
      <c r="M80" s="62" t="str">
        <f>IF('DDR4 Config'!$H$1=1,'DDR4 Spec'!M31,IF('DDR4 Config'!$H$1=2,'DDR4 Spec'!X31,IF('DDR4 Config'!$H$1=3,'DDR4 Spec'!AI31,'DDR4 Spec'!AU31)))</f>
        <v>tbd</v>
      </c>
      <c r="N80" s="62" t="str">
        <f>IF('DDR4 Config'!$H$1=1,'DDR4 Spec'!N31,IF('DDR4 Config'!$H$1=2,'DDR4 Spec'!Y31,IF('DDR4 Config'!$H$1=3,'DDR4 Spec'!AJ31,'DDR4 Spec'!AV31)))</f>
        <v>tbd</v>
      </c>
      <c r="O80" s="62">
        <f>HLOOKUP($O$55,$E$55:$N$100,26)</f>
        <v>225</v>
      </c>
      <c r="P80" s="62"/>
      <c r="Q80" s="62"/>
      <c r="R80" s="62"/>
      <c r="S80" s="62"/>
      <c r="T80" s="62"/>
      <c r="U80" s="62"/>
      <c r="V80" s="62"/>
      <c r="W80" s="62"/>
      <c r="X80" s="62"/>
      <c r="Y80" s="62"/>
      <c r="Z80" s="62"/>
      <c r="AA80" s="62"/>
      <c r="AB80" s="62"/>
      <c r="AC80" s="62"/>
      <c r="AD80" s="62"/>
      <c r="AE80" s="62"/>
      <c r="AF80" s="62"/>
      <c r="AG80" s="62"/>
      <c r="AH80" s="62"/>
      <c r="AI80" s="62"/>
      <c r="AJ80" s="62"/>
      <c r="AK80" s="62"/>
      <c r="AL80" s="43"/>
    </row>
    <row r="81" spans="2:38" ht="27.75" hidden="1" customHeight="1">
      <c r="B81" s="64"/>
      <c r="C81" s="65"/>
      <c r="D81" s="335" t="s">
        <v>182</v>
      </c>
      <c r="E81" s="62">
        <f>IF('DDR4 Config'!$H$1=1,'DDR4 Spec'!E32,IF('DDR4 Config'!$H$1=2,'DDR4 Spec'!P32,IF('DDR4 Config'!$H$1=3,'DDR4 Spec'!AA32,'DDR4 Spec'!AM32)))</f>
        <v>140</v>
      </c>
      <c r="F81" s="62">
        <f>IF('DDR4 Config'!$H$1=1,'DDR4 Spec'!F32,IF('DDR4 Config'!$H$1=2,'DDR4 Spec'!Q32,IF('DDR4 Config'!$H$1=3,'DDR4 Spec'!AB32,'DDR4 Spec'!AN32)))</f>
        <v>155</v>
      </c>
      <c r="G81" s="62">
        <f>IF('DDR4 Config'!$H$1=1,'DDR4 Spec'!G32,IF('DDR4 Config'!$H$1=2,'DDR4 Spec'!R32,IF('DDR4 Config'!$H$1=3,'DDR4 Spec'!AC32,'DDR4 Spec'!AO32)))</f>
        <v>155</v>
      </c>
      <c r="H81" s="62">
        <f>IF('DDR4 Config'!$H$1=1,'DDR4 Spec'!H32,IF('DDR4 Config'!$H$1=2,'DDR4 Spec'!S32,IF('DDR4 Config'!$H$1=3,'DDR4 Spec'!AD32,'DDR4 Spec'!AP32)))</f>
        <v>175</v>
      </c>
      <c r="I81" s="62">
        <f>IF('DDR4 Config'!$H$1=1,'DDR4 Spec'!I32,IF('DDR4 Config'!$H$1=2,'DDR4 Spec'!T32,IF('DDR4 Config'!$H$1=3,'DDR4 Spec'!AE32,'DDR4 Spec'!AQ32)))</f>
        <v>175</v>
      </c>
      <c r="J81" s="62">
        <f>IF('DDR4 Config'!$H$1=1,'DDR4 Spec'!J32,IF('DDR4 Config'!$H$1=2,'DDR4 Spec'!U32,IF('DDR4 Config'!$H$1=3,'DDR4 Spec'!AF32,'DDR4 Spec'!AR32)))</f>
        <v>195</v>
      </c>
      <c r="K81" s="62">
        <f>IF('DDR4 Config'!$H$1=1,'DDR4 Spec'!K32,IF('DDR4 Config'!$H$1=2,'DDR4 Spec'!V32,IF('DDR4 Config'!$H$1=3,'DDR4 Spec'!AG32,'DDR4 Spec'!AS32)))</f>
        <v>195</v>
      </c>
      <c r="L81" s="62" t="str">
        <f>IF('DDR4 Config'!$H$1=1,'DDR4 Spec'!L32,IF('DDR4 Config'!$H$1=2,'DDR4 Spec'!W32,IF('DDR4 Config'!$H$1=3,'DDR4 Spec'!AH32,'DDR4 Spec'!AT32)))</f>
        <v>tbd</v>
      </c>
      <c r="M81" s="62" t="str">
        <f>IF('DDR4 Config'!$H$1=1,'DDR4 Spec'!M32,IF('DDR4 Config'!$H$1=2,'DDR4 Spec'!X32,IF('DDR4 Config'!$H$1=3,'DDR4 Spec'!AI32,'DDR4 Spec'!AU32)))</f>
        <v>tbd</v>
      </c>
      <c r="N81" s="62" t="str">
        <f>IF('DDR4 Config'!$H$1=1,'DDR4 Spec'!N32,IF('DDR4 Config'!$H$1=2,'DDR4 Spec'!Y32,IF('DDR4 Config'!$H$1=3,'DDR4 Spec'!AJ32,'DDR4 Spec'!AV32)))</f>
        <v>tbd</v>
      </c>
      <c r="O81" s="62">
        <f>HLOOKUP($O$55,$E$55:$N$100,27)</f>
        <v>195</v>
      </c>
      <c r="P81" s="62"/>
      <c r="Q81" s="62"/>
      <c r="R81" s="62"/>
      <c r="S81" s="62"/>
      <c r="T81" s="62"/>
      <c r="U81" s="62"/>
      <c r="V81" s="62"/>
      <c r="W81" s="62"/>
      <c r="X81" s="62"/>
      <c r="Y81" s="62"/>
      <c r="Z81" s="62"/>
      <c r="AA81" s="62"/>
      <c r="AB81" s="62"/>
      <c r="AC81" s="62"/>
      <c r="AD81" s="62"/>
      <c r="AE81" s="62"/>
      <c r="AF81" s="62"/>
      <c r="AG81" s="62"/>
      <c r="AH81" s="62"/>
      <c r="AI81" s="62"/>
      <c r="AJ81" s="62"/>
      <c r="AK81" s="62"/>
      <c r="AL81" s="43"/>
    </row>
    <row r="82" spans="2:38" ht="27.75" hidden="1" customHeight="1">
      <c r="B82" s="64"/>
      <c r="C82" s="65"/>
      <c r="D82" s="335"/>
      <c r="E82" s="62">
        <f>IF('DDR4 Config'!$H$1=1,'DDR4 Spec'!E33,IF('DDR4 Config'!$H$1=2,'DDR4 Spec'!P33,IF('DDR4 Config'!$H$1=3,'DDR4 Spec'!AA33,'DDR4 Spec'!AM33)))</f>
        <v>140</v>
      </c>
      <c r="F82" s="62">
        <f>IF('DDR4 Config'!$H$1=1,'DDR4 Spec'!F33,IF('DDR4 Config'!$H$1=2,'DDR4 Spec'!Q33,IF('DDR4 Config'!$H$1=3,'DDR4 Spec'!AB33,'DDR4 Spec'!AN33)))</f>
        <v>155</v>
      </c>
      <c r="G82" s="62">
        <f>IF('DDR4 Config'!$H$1=1,'DDR4 Spec'!G33,IF('DDR4 Config'!$H$1=2,'DDR4 Spec'!R33,IF('DDR4 Config'!$H$1=3,'DDR4 Spec'!AC33,'DDR4 Spec'!AO33)))</f>
        <v>155</v>
      </c>
      <c r="H82" s="62">
        <f>IF('DDR4 Config'!$H$1=1,'DDR4 Spec'!H33,IF('DDR4 Config'!$H$1=2,'DDR4 Spec'!S33,IF('DDR4 Config'!$H$1=3,'DDR4 Spec'!AD33,'DDR4 Spec'!AP33)))</f>
        <v>175</v>
      </c>
      <c r="I82" s="62">
        <f>IF('DDR4 Config'!$H$1=1,'DDR4 Spec'!I33,IF('DDR4 Config'!$H$1=2,'DDR4 Spec'!T33,IF('DDR4 Config'!$H$1=3,'DDR4 Spec'!AE33,'DDR4 Spec'!AQ33)))</f>
        <v>175</v>
      </c>
      <c r="J82" s="62">
        <f>IF('DDR4 Config'!$H$1=1,'DDR4 Spec'!J33,IF('DDR4 Config'!$H$1=2,'DDR4 Spec'!U33,IF('DDR4 Config'!$H$1=3,'DDR4 Spec'!AF33,'DDR4 Spec'!AR33)))</f>
        <v>195</v>
      </c>
      <c r="K82" s="62">
        <f>IF('DDR4 Config'!$H$1=1,'DDR4 Spec'!K33,IF('DDR4 Config'!$H$1=2,'DDR4 Spec'!V33,IF('DDR4 Config'!$H$1=3,'DDR4 Spec'!AG33,'DDR4 Spec'!AS33)))</f>
        <v>195</v>
      </c>
      <c r="L82" s="62" t="str">
        <f>IF('DDR4 Config'!$H$1=1,'DDR4 Spec'!L33,IF('DDR4 Config'!$H$1=2,'DDR4 Spec'!W33,IF('DDR4 Config'!$H$1=3,'DDR4 Spec'!AH33,'DDR4 Spec'!AT33)))</f>
        <v>tbd</v>
      </c>
      <c r="M82" s="62" t="str">
        <f>IF('DDR4 Config'!$H$1=1,'DDR4 Spec'!M33,IF('DDR4 Config'!$H$1=2,'DDR4 Spec'!X33,IF('DDR4 Config'!$H$1=3,'DDR4 Spec'!AI33,'DDR4 Spec'!AU33)))</f>
        <v>tbd</v>
      </c>
      <c r="N82" s="62" t="str">
        <f>IF('DDR4 Config'!$H$1=1,'DDR4 Spec'!N33,IF('DDR4 Config'!$H$1=2,'DDR4 Spec'!Y33,IF('DDR4 Config'!$H$1=3,'DDR4 Spec'!AJ33,'DDR4 Spec'!AV33)))</f>
        <v>tbd</v>
      </c>
      <c r="O82" s="62">
        <f>HLOOKUP($O$55,$E$55:$N$100,28)</f>
        <v>195</v>
      </c>
      <c r="P82" s="62"/>
      <c r="Q82" s="62"/>
      <c r="R82" s="62"/>
      <c r="S82" s="62"/>
      <c r="T82" s="62"/>
      <c r="U82" s="62"/>
      <c r="V82" s="62"/>
      <c r="W82" s="62"/>
      <c r="X82" s="62"/>
      <c r="Y82" s="62"/>
      <c r="Z82" s="62"/>
      <c r="AA82" s="62"/>
      <c r="AB82" s="62"/>
      <c r="AC82" s="62"/>
      <c r="AD82" s="62"/>
      <c r="AE82" s="62"/>
      <c r="AF82" s="62"/>
      <c r="AG82" s="62"/>
      <c r="AH82" s="62"/>
      <c r="AI82" s="62"/>
      <c r="AJ82" s="62"/>
      <c r="AK82" s="62"/>
      <c r="AL82" s="43"/>
    </row>
    <row r="83" spans="2:38" ht="27.75" hidden="1" customHeight="1">
      <c r="B83" s="64"/>
      <c r="C83" s="65"/>
      <c r="D83" s="335"/>
      <c r="E83" s="62">
        <f>IF('DDR4 Config'!$H$1=1,'DDR4 Spec'!E34,IF('DDR4 Config'!$H$1=2,'DDR4 Spec'!P34,IF('DDR4 Config'!$H$1=3,'DDR4 Spec'!AA34,'DDR4 Spec'!AM34)))</f>
        <v>220</v>
      </c>
      <c r="F83" s="62">
        <f>IF('DDR4 Config'!$H$1=1,'DDR4 Spec'!F34,IF('DDR4 Config'!$H$1=2,'DDR4 Spec'!Q34,IF('DDR4 Config'!$H$1=3,'DDR4 Spec'!AB34,'DDR4 Spec'!AN34)))</f>
        <v>250</v>
      </c>
      <c r="G83" s="62">
        <f>IF('DDR4 Config'!$H$1=1,'DDR4 Spec'!G34,IF('DDR4 Config'!$H$1=2,'DDR4 Spec'!R34,IF('DDR4 Config'!$H$1=3,'DDR4 Spec'!AC34,'DDR4 Spec'!AO34)))</f>
        <v>250</v>
      </c>
      <c r="H83" s="62">
        <f>IF('DDR4 Config'!$H$1=1,'DDR4 Spec'!H34,IF('DDR4 Config'!$H$1=2,'DDR4 Spec'!S34,IF('DDR4 Config'!$H$1=3,'DDR4 Spec'!AD34,'DDR4 Spec'!AP34)))</f>
        <v>285</v>
      </c>
      <c r="I83" s="62">
        <f>IF('DDR4 Config'!$H$1=1,'DDR4 Spec'!I34,IF('DDR4 Config'!$H$1=2,'DDR4 Spec'!T34,IF('DDR4 Config'!$H$1=3,'DDR4 Spec'!AE34,'DDR4 Spec'!AQ34)))</f>
        <v>285</v>
      </c>
      <c r="J83" s="62">
        <f>IF('DDR4 Config'!$H$1=1,'DDR4 Spec'!J34,IF('DDR4 Config'!$H$1=2,'DDR4 Spec'!U34,IF('DDR4 Config'!$H$1=3,'DDR4 Spec'!AF34,'DDR4 Spec'!AR34)))</f>
        <v>310</v>
      </c>
      <c r="K83" s="62">
        <f>IF('DDR4 Config'!$H$1=1,'DDR4 Spec'!K34,IF('DDR4 Config'!$H$1=2,'DDR4 Spec'!V34,IF('DDR4 Config'!$H$1=3,'DDR4 Spec'!AG34,'DDR4 Spec'!AS34)))</f>
        <v>310</v>
      </c>
      <c r="L83" s="62" t="str">
        <f>IF('DDR4 Config'!$H$1=1,'DDR4 Spec'!L34,IF('DDR4 Config'!$H$1=2,'DDR4 Spec'!W34,IF('DDR4 Config'!$H$1=3,'DDR4 Spec'!AH34,'DDR4 Spec'!AT34)))</f>
        <v>tbd</v>
      </c>
      <c r="M83" s="62" t="str">
        <f>IF('DDR4 Config'!$H$1=1,'DDR4 Spec'!M34,IF('DDR4 Config'!$H$1=2,'DDR4 Spec'!X34,IF('DDR4 Config'!$H$1=3,'DDR4 Spec'!AI34,'DDR4 Spec'!AU34)))</f>
        <v>tbd</v>
      </c>
      <c r="N83" s="62" t="str">
        <f>IF('DDR4 Config'!$H$1=1,'DDR4 Spec'!N34,IF('DDR4 Config'!$H$1=2,'DDR4 Spec'!Y34,IF('DDR4 Config'!$H$1=3,'DDR4 Spec'!AJ34,'DDR4 Spec'!AV34)))</f>
        <v>tbd</v>
      </c>
      <c r="O83" s="62">
        <f>HLOOKUP($O$55,$E$55:$N$100,29)</f>
        <v>310</v>
      </c>
      <c r="P83" s="62"/>
      <c r="Q83" s="62"/>
      <c r="R83" s="62"/>
      <c r="S83" s="62"/>
      <c r="T83" s="62"/>
      <c r="U83" s="62"/>
      <c r="V83" s="62"/>
      <c r="W83" s="62"/>
      <c r="X83" s="62"/>
      <c r="Y83" s="62"/>
      <c r="Z83" s="62"/>
      <c r="AA83" s="62"/>
      <c r="AB83" s="62"/>
      <c r="AC83" s="62"/>
      <c r="AD83" s="62"/>
      <c r="AE83" s="62"/>
      <c r="AF83" s="62"/>
      <c r="AG83" s="62"/>
      <c r="AH83" s="62"/>
      <c r="AI83" s="62"/>
      <c r="AJ83" s="62"/>
      <c r="AK83" s="62"/>
      <c r="AL83" s="43"/>
    </row>
    <row r="84" spans="2:38" ht="27.75" hidden="1" customHeight="1">
      <c r="B84" s="64"/>
      <c r="C84" s="65"/>
      <c r="D84" s="335" t="s">
        <v>315</v>
      </c>
      <c r="E84" s="62">
        <f>IF('DDR4 Config'!$H$1=1,'DDR4 Spec'!E35,IF('DDR4 Config'!$H$1=2,'DDR4 Spec'!P35,IF('DDR4 Config'!$H$1=3,'DDR4 Spec'!AA35,'DDR4 Spec'!AM35)))</f>
        <v>170</v>
      </c>
      <c r="F84" s="62">
        <f>IF('DDR4 Config'!$H$1=1,'DDR4 Spec'!F35,IF('DDR4 Config'!$H$1=2,'DDR4 Spec'!Q35,IF('DDR4 Config'!$H$1=3,'DDR4 Spec'!AB35,'DDR4 Spec'!AN35)))</f>
        <v>170</v>
      </c>
      <c r="G84" s="62">
        <f>IF('DDR4 Config'!$H$1=1,'DDR4 Spec'!G35,IF('DDR4 Config'!$H$1=2,'DDR4 Spec'!R35,IF('DDR4 Config'!$H$1=3,'DDR4 Spec'!AC35,'DDR4 Spec'!AO35)))</f>
        <v>170</v>
      </c>
      <c r="H84" s="62">
        <f>IF('DDR4 Config'!$H$1=1,'DDR4 Spec'!H35,IF('DDR4 Config'!$H$1=2,'DDR4 Spec'!S35,IF('DDR4 Config'!$H$1=3,'DDR4 Spec'!AD35,'DDR4 Spec'!AP35)))</f>
        <v>175</v>
      </c>
      <c r="I84" s="62">
        <f>IF('DDR4 Config'!$H$1=1,'DDR4 Spec'!I35,IF('DDR4 Config'!$H$1=2,'DDR4 Spec'!T35,IF('DDR4 Config'!$H$1=3,'DDR4 Spec'!AE35,'DDR4 Spec'!AQ35)))</f>
        <v>175</v>
      </c>
      <c r="J84" s="62">
        <f>IF('DDR4 Config'!$H$1=1,'DDR4 Spec'!J35,IF('DDR4 Config'!$H$1=2,'DDR4 Spec'!U35,IF('DDR4 Config'!$H$1=3,'DDR4 Spec'!AF35,'DDR4 Spec'!AR35)))</f>
        <v>175</v>
      </c>
      <c r="K84" s="62">
        <f>IF('DDR4 Config'!$H$1=1,'DDR4 Spec'!K35,IF('DDR4 Config'!$H$1=2,'DDR4 Spec'!V35,IF('DDR4 Config'!$H$1=3,'DDR4 Spec'!AG35,'DDR4 Spec'!AS35)))</f>
        <v>175</v>
      </c>
      <c r="L84" s="62" t="str">
        <f>IF('DDR4 Config'!$H$1=1,'DDR4 Spec'!L35,IF('DDR4 Config'!$H$1=2,'DDR4 Spec'!W35,IF('DDR4 Config'!$H$1=3,'DDR4 Spec'!AH35,'DDR4 Spec'!AT35)))</f>
        <v>tbd</v>
      </c>
      <c r="M84" s="62" t="str">
        <f>IF('DDR4 Config'!$H$1=1,'DDR4 Spec'!M35,IF('DDR4 Config'!$H$1=2,'DDR4 Spec'!X35,IF('DDR4 Config'!$H$1=3,'DDR4 Spec'!AI35,'DDR4 Spec'!AU35)))</f>
        <v>tbd</v>
      </c>
      <c r="N84" s="62" t="str">
        <f>IF('DDR4 Config'!$H$1=1,'DDR4 Spec'!N35,IF('DDR4 Config'!$H$1=2,'DDR4 Spec'!Y35,IF('DDR4 Config'!$H$1=3,'DDR4 Spec'!AJ35,'DDR4 Spec'!AV35)))</f>
        <v>tbd</v>
      </c>
      <c r="O84" s="62">
        <f>HLOOKUP($O$55,$E$55:$N$100,30)</f>
        <v>175</v>
      </c>
      <c r="P84" s="62"/>
      <c r="Q84" s="62"/>
      <c r="R84" s="62"/>
      <c r="S84" s="62"/>
      <c r="T84" s="62"/>
      <c r="U84" s="62"/>
      <c r="V84" s="62"/>
      <c r="W84" s="62"/>
      <c r="X84" s="62"/>
      <c r="Y84" s="62"/>
      <c r="Z84" s="62"/>
      <c r="AA84" s="62"/>
      <c r="AB84" s="62"/>
      <c r="AC84" s="62"/>
      <c r="AD84" s="62"/>
      <c r="AE84" s="62"/>
      <c r="AF84" s="62"/>
      <c r="AG84" s="62"/>
      <c r="AH84" s="62"/>
      <c r="AI84" s="62"/>
      <c r="AJ84" s="62"/>
      <c r="AK84" s="62"/>
      <c r="AL84" s="43"/>
    </row>
    <row r="85" spans="2:38" ht="27.75" hidden="1" customHeight="1">
      <c r="B85" s="64"/>
      <c r="C85" s="65"/>
      <c r="D85" s="335"/>
      <c r="E85" s="62">
        <f>IF('DDR4 Config'!$H$1=1,'DDR4 Spec'!E36,IF('DDR4 Config'!$H$1=2,'DDR4 Spec'!P36,IF('DDR4 Config'!$H$1=3,'DDR4 Spec'!AA36,'DDR4 Spec'!AM36)))</f>
        <v>170</v>
      </c>
      <c r="F85" s="62">
        <f>IF('DDR4 Config'!$H$1=1,'DDR4 Spec'!F36,IF('DDR4 Config'!$H$1=2,'DDR4 Spec'!Q36,IF('DDR4 Config'!$H$1=3,'DDR4 Spec'!AB36,'DDR4 Spec'!AN36)))</f>
        <v>170</v>
      </c>
      <c r="G85" s="62">
        <f>IF('DDR4 Config'!$H$1=1,'DDR4 Spec'!G36,IF('DDR4 Config'!$H$1=2,'DDR4 Spec'!R36,IF('DDR4 Config'!$H$1=3,'DDR4 Spec'!AC36,'DDR4 Spec'!AO36)))</f>
        <v>170</v>
      </c>
      <c r="H85" s="62">
        <f>IF('DDR4 Config'!$H$1=1,'DDR4 Spec'!H36,IF('DDR4 Config'!$H$1=2,'DDR4 Spec'!S36,IF('DDR4 Config'!$H$1=3,'DDR4 Spec'!AD36,'DDR4 Spec'!AP36)))</f>
        <v>175</v>
      </c>
      <c r="I85" s="62">
        <f>IF('DDR4 Config'!$H$1=1,'DDR4 Spec'!I36,IF('DDR4 Config'!$H$1=2,'DDR4 Spec'!T36,IF('DDR4 Config'!$H$1=3,'DDR4 Spec'!AE36,'DDR4 Spec'!AQ36)))</f>
        <v>175</v>
      </c>
      <c r="J85" s="62">
        <f>IF('DDR4 Config'!$H$1=1,'DDR4 Spec'!J36,IF('DDR4 Config'!$H$1=2,'DDR4 Spec'!U36,IF('DDR4 Config'!$H$1=3,'DDR4 Spec'!AF36,'DDR4 Spec'!AR36)))</f>
        <v>175</v>
      </c>
      <c r="K85" s="62">
        <f>IF('DDR4 Config'!$H$1=1,'DDR4 Spec'!K36,IF('DDR4 Config'!$H$1=2,'DDR4 Spec'!V36,IF('DDR4 Config'!$H$1=3,'DDR4 Spec'!AG36,'DDR4 Spec'!AS36)))</f>
        <v>175</v>
      </c>
      <c r="L85" s="62" t="str">
        <f>IF('DDR4 Config'!$H$1=1,'DDR4 Spec'!L36,IF('DDR4 Config'!$H$1=2,'DDR4 Spec'!W36,IF('DDR4 Config'!$H$1=3,'DDR4 Spec'!AH36,'DDR4 Spec'!AT36)))</f>
        <v>tbd</v>
      </c>
      <c r="M85" s="62" t="str">
        <f>IF('DDR4 Config'!$H$1=1,'DDR4 Spec'!M36,IF('DDR4 Config'!$H$1=2,'DDR4 Spec'!X36,IF('DDR4 Config'!$H$1=3,'DDR4 Spec'!AI36,'DDR4 Spec'!AU36)))</f>
        <v>tbd</v>
      </c>
      <c r="N85" s="62" t="str">
        <f>IF('DDR4 Config'!$H$1=1,'DDR4 Spec'!N36,IF('DDR4 Config'!$H$1=2,'DDR4 Spec'!Y36,IF('DDR4 Config'!$H$1=3,'DDR4 Spec'!AJ36,'DDR4 Spec'!AV36)))</f>
        <v>tbd</v>
      </c>
      <c r="O85" s="62">
        <f>HLOOKUP($O$55,$E$55:$N$100,31)</f>
        <v>175</v>
      </c>
      <c r="P85" s="62"/>
      <c r="Q85" s="62"/>
      <c r="R85" s="62"/>
      <c r="S85" s="62"/>
      <c r="T85" s="62"/>
      <c r="U85" s="62"/>
      <c r="V85" s="62"/>
      <c r="W85" s="62"/>
      <c r="X85" s="62"/>
      <c r="Y85" s="62"/>
      <c r="Z85" s="62"/>
      <c r="AA85" s="62"/>
      <c r="AB85" s="62"/>
      <c r="AC85" s="62"/>
      <c r="AD85" s="62"/>
      <c r="AE85" s="62"/>
      <c r="AF85" s="62"/>
      <c r="AG85" s="62"/>
      <c r="AH85" s="62"/>
      <c r="AI85" s="62"/>
      <c r="AJ85" s="62"/>
      <c r="AK85" s="62"/>
      <c r="AL85" s="43"/>
    </row>
    <row r="86" spans="2:38" ht="27.75" hidden="1" customHeight="1">
      <c r="B86" s="64"/>
      <c r="C86" s="65"/>
      <c r="D86" s="335" t="s">
        <v>316</v>
      </c>
      <c r="E86" s="62">
        <f>IF('DDR4 Config'!$H$1=1,'DDR4 Spec'!E37,IF('DDR4 Config'!$H$1=2,'DDR4 Spec'!P37,IF('DDR4 Config'!$H$1=3,'DDR4 Spec'!AA37,'DDR4 Spec'!AM37)))</f>
        <v>22</v>
      </c>
      <c r="F86" s="62">
        <f>IF('DDR4 Config'!$H$1=1,'DDR4 Spec'!F37,IF('DDR4 Config'!$H$1=2,'DDR4 Spec'!Q37,IF('DDR4 Config'!$H$1=3,'DDR4 Spec'!AB37,'DDR4 Spec'!AN37)))</f>
        <v>22</v>
      </c>
      <c r="G86" s="62">
        <f>IF('DDR4 Config'!$H$1=1,'DDR4 Spec'!G37,IF('DDR4 Config'!$H$1=2,'DDR4 Spec'!R37,IF('DDR4 Config'!$H$1=3,'DDR4 Spec'!AC37,'DDR4 Spec'!AO37)))</f>
        <v>22</v>
      </c>
      <c r="H86" s="62">
        <f>IF('DDR4 Config'!$H$1=1,'DDR4 Spec'!H37,IF('DDR4 Config'!$H$1=2,'DDR4 Spec'!S37,IF('DDR4 Config'!$H$1=3,'DDR4 Spec'!AD37,'DDR4 Spec'!AP37)))</f>
        <v>22</v>
      </c>
      <c r="I86" s="62">
        <f>IF('DDR4 Config'!$H$1=1,'DDR4 Spec'!I37,IF('DDR4 Config'!$H$1=2,'DDR4 Spec'!T37,IF('DDR4 Config'!$H$1=3,'DDR4 Spec'!AE37,'DDR4 Spec'!AQ37)))</f>
        <v>22</v>
      </c>
      <c r="J86" s="62">
        <f>IF('DDR4 Config'!$H$1=1,'DDR4 Spec'!J37,IF('DDR4 Config'!$H$1=2,'DDR4 Spec'!U37,IF('DDR4 Config'!$H$1=3,'DDR4 Spec'!AF37,'DDR4 Spec'!AR37)))</f>
        <v>22</v>
      </c>
      <c r="K86" s="62">
        <f>IF('DDR4 Config'!$H$1=1,'DDR4 Spec'!K37,IF('DDR4 Config'!$H$1=2,'DDR4 Spec'!V37,IF('DDR4 Config'!$H$1=3,'DDR4 Spec'!AG37,'DDR4 Spec'!AS37)))</f>
        <v>22</v>
      </c>
      <c r="L86" s="62" t="str">
        <f>IF('DDR4 Config'!$H$1=1,'DDR4 Spec'!L37,IF('DDR4 Config'!$H$1=2,'DDR4 Spec'!W37,IF('DDR4 Config'!$H$1=3,'DDR4 Spec'!AH37,'DDR4 Spec'!AT37)))</f>
        <v>tbd</v>
      </c>
      <c r="M86" s="62" t="str">
        <f>IF('DDR4 Config'!$H$1=1,'DDR4 Spec'!M37,IF('DDR4 Config'!$H$1=2,'DDR4 Spec'!X37,IF('DDR4 Config'!$H$1=3,'DDR4 Spec'!AI37,'DDR4 Spec'!AU37)))</f>
        <v>tbd</v>
      </c>
      <c r="N86" s="62" t="str">
        <f>IF('DDR4 Config'!$H$1=1,'DDR4 Spec'!N37,IF('DDR4 Config'!$H$1=2,'DDR4 Spec'!Y37,IF('DDR4 Config'!$H$1=3,'DDR4 Spec'!AJ37,'DDR4 Spec'!AV37)))</f>
        <v>tbd</v>
      </c>
      <c r="O86" s="62">
        <f>HLOOKUP($O$55,$E$55:$N$100,32)</f>
        <v>22</v>
      </c>
      <c r="P86" s="62"/>
      <c r="Q86" s="62"/>
      <c r="R86" s="62"/>
      <c r="S86" s="62"/>
      <c r="T86" s="62"/>
      <c r="U86" s="62"/>
      <c r="V86" s="62"/>
      <c r="W86" s="62"/>
      <c r="X86" s="62"/>
      <c r="Y86" s="62"/>
      <c r="Z86" s="62"/>
      <c r="AA86" s="62"/>
      <c r="AB86" s="62"/>
      <c r="AC86" s="62"/>
      <c r="AD86" s="62"/>
      <c r="AE86" s="62"/>
      <c r="AF86" s="62"/>
      <c r="AG86" s="62"/>
      <c r="AH86" s="62"/>
      <c r="AI86" s="62"/>
      <c r="AJ86" s="62"/>
      <c r="AK86" s="62"/>
      <c r="AL86" s="43"/>
    </row>
    <row r="87" spans="2:38" ht="27.75" hidden="1" customHeight="1">
      <c r="B87" s="64"/>
      <c r="C87" s="65"/>
      <c r="D87" s="335"/>
      <c r="E87" s="62">
        <f>IF('DDR4 Config'!$H$1=1,'DDR4 Spec'!E38,IF('DDR4 Config'!$H$1=2,'DDR4 Spec'!P38,IF('DDR4 Config'!$H$1=3,'DDR4 Spec'!AA38,'DDR4 Spec'!AM38)))</f>
        <v>25</v>
      </c>
      <c r="F87" s="62">
        <f>IF('DDR4 Config'!$H$1=1,'DDR4 Spec'!F38,IF('DDR4 Config'!$H$1=2,'DDR4 Spec'!Q38,IF('DDR4 Config'!$H$1=3,'DDR4 Spec'!AB38,'DDR4 Spec'!AN38)))</f>
        <v>25</v>
      </c>
      <c r="G87" s="62">
        <f>IF('DDR4 Config'!$H$1=1,'DDR4 Spec'!G38,IF('DDR4 Config'!$H$1=2,'DDR4 Spec'!R38,IF('DDR4 Config'!$H$1=3,'DDR4 Spec'!AC38,'DDR4 Spec'!AO38)))</f>
        <v>25</v>
      </c>
      <c r="H87" s="62">
        <f>IF('DDR4 Config'!$H$1=1,'DDR4 Spec'!H38,IF('DDR4 Config'!$H$1=2,'DDR4 Spec'!S38,IF('DDR4 Config'!$H$1=3,'DDR4 Spec'!AD38,'DDR4 Spec'!AP38)))</f>
        <v>25</v>
      </c>
      <c r="I87" s="62">
        <f>IF('DDR4 Config'!$H$1=1,'DDR4 Spec'!I38,IF('DDR4 Config'!$H$1=2,'DDR4 Spec'!T38,IF('DDR4 Config'!$H$1=3,'DDR4 Spec'!AE38,'DDR4 Spec'!AQ38)))</f>
        <v>25</v>
      </c>
      <c r="J87" s="62">
        <f>IF('DDR4 Config'!$H$1=1,'DDR4 Spec'!J38,IF('DDR4 Config'!$H$1=2,'DDR4 Spec'!U38,IF('DDR4 Config'!$H$1=3,'DDR4 Spec'!AF38,'DDR4 Spec'!AR38)))</f>
        <v>25</v>
      </c>
      <c r="K87" s="62">
        <f>IF('DDR4 Config'!$H$1=1,'DDR4 Spec'!K38,IF('DDR4 Config'!$H$1=2,'DDR4 Spec'!V38,IF('DDR4 Config'!$H$1=3,'DDR4 Spec'!AG38,'DDR4 Spec'!AS38)))</f>
        <v>25</v>
      </c>
      <c r="L87" s="62" t="str">
        <f>IF('DDR4 Config'!$H$1=1,'DDR4 Spec'!L38,IF('DDR4 Config'!$H$1=2,'DDR4 Spec'!W38,IF('DDR4 Config'!$H$1=3,'DDR4 Spec'!AH38,'DDR4 Spec'!AT38)))</f>
        <v>tbd</v>
      </c>
      <c r="M87" s="62" t="str">
        <f>IF('DDR4 Config'!$H$1=1,'DDR4 Spec'!M38,IF('DDR4 Config'!$H$1=2,'DDR4 Spec'!X38,IF('DDR4 Config'!$H$1=3,'DDR4 Spec'!AI38,'DDR4 Spec'!AU38)))</f>
        <v>tbd</v>
      </c>
      <c r="N87" s="62" t="str">
        <f>IF('DDR4 Config'!$H$1=1,'DDR4 Spec'!N38,IF('DDR4 Config'!$H$1=2,'DDR4 Spec'!Y38,IF('DDR4 Config'!$H$1=3,'DDR4 Spec'!AJ38,'DDR4 Spec'!AV38)))</f>
        <v>tbd</v>
      </c>
      <c r="O87" s="62">
        <f>HLOOKUP($O$55,$E$55:$N$100,33)</f>
        <v>25</v>
      </c>
      <c r="P87" s="62"/>
      <c r="Q87" s="62"/>
      <c r="R87" s="62"/>
      <c r="S87" s="62"/>
      <c r="T87" s="62"/>
      <c r="U87" s="62"/>
      <c r="V87" s="62"/>
      <c r="W87" s="62"/>
      <c r="X87" s="62"/>
      <c r="Y87" s="62"/>
      <c r="Z87" s="62"/>
      <c r="AA87" s="62"/>
      <c r="AB87" s="62"/>
      <c r="AC87" s="62"/>
      <c r="AD87" s="62"/>
      <c r="AE87" s="62"/>
      <c r="AF87" s="62"/>
      <c r="AG87" s="62"/>
      <c r="AH87" s="62"/>
      <c r="AI87" s="62"/>
      <c r="AJ87" s="62"/>
      <c r="AK87" s="62"/>
      <c r="AL87" s="43"/>
    </row>
    <row r="88" spans="2:38" ht="27.75" hidden="1" customHeight="1">
      <c r="B88" s="64"/>
      <c r="C88" s="65"/>
      <c r="D88" s="64"/>
      <c r="E88" s="62"/>
      <c r="F88" s="62"/>
      <c r="G88" s="62"/>
      <c r="H88" s="62"/>
      <c r="I88" s="62"/>
      <c r="J88" s="62"/>
      <c r="K88" s="62"/>
      <c r="L88" s="62"/>
      <c r="M88" s="62"/>
      <c r="N88" s="62"/>
      <c r="O88" s="252">
        <v>34</v>
      </c>
      <c r="V88" s="62"/>
      <c r="X88" s="62"/>
      <c r="Y88" s="62"/>
      <c r="Z88" s="62"/>
      <c r="AA88" s="62"/>
      <c r="AB88" s="62"/>
      <c r="AC88" s="62"/>
      <c r="AD88" s="62"/>
      <c r="AE88" s="62"/>
      <c r="AF88" s="62"/>
      <c r="AG88" s="62"/>
      <c r="AH88" s="62"/>
      <c r="AI88" s="62"/>
      <c r="AJ88" s="62"/>
      <c r="AK88" s="62"/>
      <c r="AL88" s="43"/>
    </row>
    <row r="89" spans="2:38" ht="27.75" hidden="1" customHeight="1">
      <c r="B89" s="64"/>
      <c r="C89" s="65"/>
      <c r="D89" s="64"/>
      <c r="E89" s="62"/>
      <c r="F89" s="62"/>
      <c r="G89" s="62"/>
      <c r="H89" s="62"/>
      <c r="I89" s="62"/>
      <c r="J89" s="62"/>
      <c r="K89" s="62"/>
      <c r="L89" s="62"/>
      <c r="M89" s="62"/>
      <c r="N89" s="62"/>
      <c r="O89" s="253">
        <v>35</v>
      </c>
      <c r="P89" s="62"/>
      <c r="Q89" s="62"/>
      <c r="R89" s="62"/>
      <c r="S89" s="62"/>
      <c r="T89" s="62"/>
      <c r="U89" s="62"/>
      <c r="V89" s="62"/>
      <c r="W89" s="62"/>
      <c r="X89" s="62"/>
      <c r="Y89" s="62"/>
      <c r="Z89" s="62"/>
      <c r="AA89" s="62"/>
      <c r="AB89" s="62"/>
      <c r="AC89" s="62"/>
      <c r="AD89" s="62"/>
      <c r="AE89" s="62"/>
      <c r="AF89" s="62"/>
      <c r="AG89" s="62"/>
      <c r="AH89" s="62"/>
      <c r="AI89" s="62"/>
      <c r="AJ89" s="62"/>
      <c r="AK89" s="62"/>
      <c r="AL89" s="43"/>
    </row>
    <row r="90" spans="2:38" ht="27.75" hidden="1" customHeight="1">
      <c r="B90" s="64"/>
      <c r="C90" s="65"/>
      <c r="D90" s="61" t="s">
        <v>261</v>
      </c>
      <c r="E90" s="62">
        <f>IF('DDR4 Config'!$H$1=1,'DDR4 Spec'!E40,IF('DDR4 Config'!$H$1=2,'DDR4 Spec'!P40,'DDR4 Spec'!AA40))</f>
        <v>1.0708113612004289</v>
      </c>
      <c r="F90" s="251">
        <f>IF('DDR4 Config'!$H$1=1,'DDR4 Spec'!F40,IF('DDR4 Config'!$H$1=2,'DDR4 Spec'!Q40,'DDR4 Spec'!Y40))</f>
        <v>0.93664650726676046</v>
      </c>
      <c r="G90" s="251">
        <f>IF('DDR4 Config'!$H$1=1,'DDR4 Spec'!G40,IF('DDR4 Config'!$H$1=2,'DDR4 Spec'!R40,'DDR4 Spec'!Z40))</f>
        <v>0.93664650726676046</v>
      </c>
      <c r="H90" s="251">
        <f>IF('DDR4 Config'!$H$1=1,'DDR4 Spec'!H40,IF('DDR4 Config'!$H$1=2,'DDR4 Spec'!S40,'DDR4 Spec'!AA40))</f>
        <v>0.83333333333333337</v>
      </c>
      <c r="I90" s="251">
        <f>IF('DDR4 Config'!$H$1=1,'DDR4 Spec'!I40,IF('DDR4 Config'!$H$1=2,'DDR4 Spec'!T40,'DDR4 Spec'!AE40))</f>
        <v>0.83333333333333337</v>
      </c>
      <c r="J90" s="251">
        <f>IF('DDR4 Config'!$H$1=1,'DDR4 Spec'!J40,IF('DDR4 Config'!$H$1=2,'DDR4 Spec'!U40,'DDR4 Spec'!AF40))</f>
        <v>0.75018754688672173</v>
      </c>
      <c r="K90" s="251">
        <f>IF('DDR4 Config'!$H$1=1,'DDR4 Spec'!K40,IF('DDR4 Config'!$H$1=2,'DDR4 Spec'!V40,'DDR4 Spec'!AG40))</f>
        <v>0.75018754688672173</v>
      </c>
      <c r="L90" s="251">
        <f>IF('DDR4 Config'!$H$1=1,'DDR4 Spec'!L40,IF('DDR4 Config'!$H$1=2,'DDR4 Spec'!W40,'DDR4 Spec'!AH40))</f>
        <v>0.68189566996249573</v>
      </c>
      <c r="M90" s="251">
        <f>IF('DDR4 Config'!$H$1=1,'DDR4 Spec'!M40,IF('DDR4 Config'!$H$1=2,'DDR4 Spec'!X40,'DDR4 Spec'!AI40))</f>
        <v>0.68189566996249573</v>
      </c>
      <c r="N90" s="251">
        <f>IF('DDR4 Config'!$H$1=1,'DDR4 Spec'!N40,IF('DDR4 Config'!$H$1=2,'DDR4 Spec'!Y40,'DDR4 Spec'!AJ40))</f>
        <v>0.625</v>
      </c>
      <c r="O90" s="62">
        <f>HLOOKUP($O$55,$E$55:$N$100,36)</f>
        <v>0.75018754688672173</v>
      </c>
      <c r="P90" s="62"/>
      <c r="Q90" s="62"/>
      <c r="R90" s="62"/>
      <c r="S90" s="62"/>
      <c r="T90" s="62"/>
      <c r="U90" s="62"/>
      <c r="V90" s="62"/>
      <c r="W90" s="62"/>
      <c r="X90" s="62"/>
      <c r="Y90" s="62"/>
      <c r="Z90" s="62"/>
      <c r="AA90" s="62"/>
      <c r="AB90" s="62"/>
      <c r="AC90" s="62"/>
      <c r="AD90" s="62"/>
      <c r="AE90" s="62"/>
      <c r="AF90" s="62"/>
      <c r="AG90" s="62"/>
      <c r="AH90" s="62"/>
      <c r="AI90" s="62"/>
      <c r="AJ90" s="62"/>
      <c r="AK90" s="62"/>
      <c r="AL90" s="43"/>
    </row>
    <row r="91" spans="2:38" ht="27.75" hidden="1" customHeight="1">
      <c r="B91" s="64"/>
      <c r="C91" s="65"/>
      <c r="D91" s="342" t="s">
        <v>260</v>
      </c>
      <c r="E91" s="62">
        <f>IF('DDR4 Config'!$H$1=1,'DDR4 Spec'!E41,IF('DDR4 Config'!$H$1=2,'DDR4 Spec'!P41,'DDR4 Spec'!AA41))</f>
        <v>4.2</v>
      </c>
      <c r="F91" s="62">
        <f>IF('DDR4 Config'!$H$1=1,'DDR4 Spec'!F41,IF('DDR4 Config'!$H$1=2,'DDR4 Spec'!Q41,'DDR4 Spec'!Y41))</f>
        <v>3.7</v>
      </c>
      <c r="G91" s="62">
        <f>IF('DDR4 Config'!$H$1=1,'DDR4 Spec'!G41,IF('DDR4 Config'!$H$1=2,'DDR4 Spec'!R41,'DDR4 Spec'!Z41))</f>
        <v>3.7</v>
      </c>
      <c r="H91" s="62">
        <f>IF('DDR4 Config'!$H$1=1,'DDR4 Spec'!H41,IF('DDR4 Config'!$H$1=2,'DDR4 Spec'!S41,'DDR4 Spec'!AA41))</f>
        <v>3.3</v>
      </c>
      <c r="I91" s="62">
        <f>IF('DDR4 Config'!$H$1=1,'DDR4 Spec'!I41,IF('DDR4 Config'!$H$1=2,'DDR4 Spec'!T41,'DDR4 Spec'!AE41))</f>
        <v>3.3</v>
      </c>
      <c r="J91" s="62">
        <f>IF('DDR4 Config'!$H$1=1,'DDR4 Spec'!J41,IF('DDR4 Config'!$H$1=2,'DDR4 Spec'!U41,'DDR4 Spec'!AF41))</f>
        <v>3</v>
      </c>
      <c r="K91" s="62">
        <f>IF('DDR4 Config'!$H$1=1,'DDR4 Spec'!K41,IF('DDR4 Config'!$H$1=2,'DDR4 Spec'!V41,'DDR4 Spec'!AG41))</f>
        <v>3</v>
      </c>
      <c r="L91" s="62">
        <f>IF('DDR4 Config'!$H$1=1,'DDR4 Spec'!L41,IF('DDR4 Config'!$H$1=2,'DDR4 Spec'!W41,'DDR4 Spec'!AH41))</f>
        <v>2.7</v>
      </c>
      <c r="M91" s="62">
        <f>IF('DDR4 Config'!$H$1=1,'DDR4 Spec'!M41,IF('DDR4 Config'!$H$1=2,'DDR4 Spec'!X41,'DDR4 Spec'!AI41))</f>
        <v>2.7</v>
      </c>
      <c r="N91" s="62">
        <f>IF('DDR4 Config'!$H$1=1,'DDR4 Spec'!N41,IF('DDR4 Config'!$H$1=2,'DDR4 Spec'!Y41,'DDR4 Spec'!AJ41))</f>
        <v>2.5</v>
      </c>
      <c r="O91" s="62">
        <f>HLOOKUP($O$55,$E$55:$N$100,37)</f>
        <v>3</v>
      </c>
      <c r="P91" s="62"/>
      <c r="Q91" s="62"/>
      <c r="R91" s="62"/>
      <c r="S91" s="62"/>
      <c r="T91" s="62"/>
      <c r="U91" s="62"/>
      <c r="V91" s="62"/>
      <c r="W91" s="62"/>
      <c r="X91" s="62"/>
      <c r="Y91" s="62"/>
      <c r="Z91" s="62"/>
      <c r="AA91" s="62"/>
      <c r="AB91" s="62"/>
      <c r="AC91" s="62"/>
      <c r="AD91" s="62"/>
      <c r="AE91" s="62"/>
      <c r="AF91" s="62"/>
      <c r="AG91" s="62"/>
      <c r="AH91" s="62"/>
      <c r="AI91" s="62"/>
      <c r="AJ91" s="62"/>
      <c r="AK91" s="62"/>
      <c r="AL91" s="43"/>
    </row>
    <row r="92" spans="2:38" ht="27.75" hidden="1" customHeight="1">
      <c r="B92" s="64"/>
      <c r="C92" s="65"/>
      <c r="D92" s="343"/>
      <c r="E92" s="62">
        <f>IF('DDR4 Config'!$H$1=1,'DDR4 Spec'!E42,IF('DDR4 Config'!$H$1=2,'DDR4 Spec'!P42,'DDR4 Spec'!AA42))</f>
        <v>5.3</v>
      </c>
      <c r="F92" s="62">
        <f>IF('DDR4 Config'!$H$1=1,'DDR4 Spec'!F42,IF('DDR4 Config'!$H$1=2,'DDR4 Spec'!Q42,'DDR4 Spec'!Y42))</f>
        <v>5.3</v>
      </c>
      <c r="G92" s="62">
        <f>IF('DDR4 Config'!$H$1=1,'DDR4 Spec'!G42,IF('DDR4 Config'!$H$1=2,'DDR4 Spec'!R42,'DDR4 Spec'!Z42))</f>
        <v>5.3</v>
      </c>
      <c r="H92" s="62">
        <f>IF('DDR4 Config'!$H$1=1,'DDR4 Spec'!H42,IF('DDR4 Config'!$H$1=2,'DDR4 Spec'!S42,'DDR4 Spec'!AA42))</f>
        <v>5.3</v>
      </c>
      <c r="I92" s="62">
        <f>IF('DDR4 Config'!$H$1=1,'DDR4 Spec'!I42,IF('DDR4 Config'!$H$1=2,'DDR4 Spec'!T42,'DDR4 Spec'!AE42))</f>
        <v>5.3</v>
      </c>
      <c r="J92" s="62">
        <f>IF('DDR4 Config'!$H$1=1,'DDR4 Spec'!J42,IF('DDR4 Config'!$H$1=2,'DDR4 Spec'!U42,'DDR4 Spec'!AF42))</f>
        <v>5.3</v>
      </c>
      <c r="K92" s="62">
        <f>IF('DDR4 Config'!$H$1=1,'DDR4 Spec'!K42,IF('DDR4 Config'!$H$1=2,'DDR4 Spec'!V42,'DDR4 Spec'!AG42))</f>
        <v>5.3</v>
      </c>
      <c r="L92" s="62">
        <f>IF('DDR4 Config'!$H$1=1,'DDR4 Spec'!L42,IF('DDR4 Config'!$H$1=2,'DDR4 Spec'!W42,'DDR4 Spec'!AH42))</f>
        <v>5.3</v>
      </c>
      <c r="M92" s="62">
        <f>IF('DDR4 Config'!$H$1=1,'DDR4 Spec'!M42,IF('DDR4 Config'!$H$1=2,'DDR4 Spec'!X42,'DDR4 Spec'!AI42))</f>
        <v>5.3</v>
      </c>
      <c r="N92" s="62">
        <f>IF('DDR4 Config'!$H$1=1,'DDR4 Spec'!N42,IF('DDR4 Config'!$H$1=2,'DDR4 Spec'!Y42,'DDR4 Spec'!AJ42))</f>
        <v>5.3</v>
      </c>
      <c r="O92" s="62">
        <f>HLOOKUP($O$55,$E$55:$N$100,38)</f>
        <v>5.3</v>
      </c>
      <c r="P92" s="62"/>
      <c r="Q92" s="62"/>
      <c r="R92" s="62"/>
      <c r="S92" s="62"/>
      <c r="T92" s="62"/>
      <c r="U92" s="62"/>
      <c r="V92" s="62"/>
      <c r="W92" s="62"/>
      <c r="X92" s="62"/>
      <c r="Y92" s="62"/>
      <c r="Z92" s="62"/>
      <c r="AA92" s="62"/>
      <c r="AB92" s="62"/>
      <c r="AC92" s="62"/>
      <c r="AD92" s="62"/>
      <c r="AE92" s="62"/>
      <c r="AF92" s="62"/>
      <c r="AG92" s="62"/>
      <c r="AH92" s="62"/>
      <c r="AI92" s="62"/>
      <c r="AJ92" s="62"/>
      <c r="AK92" s="62"/>
      <c r="AL92" s="43"/>
    </row>
    <row r="93" spans="2:38" ht="27.75" hidden="1" customHeight="1">
      <c r="B93" s="64"/>
      <c r="C93" s="65"/>
      <c r="D93" s="342" t="s">
        <v>249</v>
      </c>
      <c r="E93" s="62">
        <f>IF('DDR4 Config'!$H$1=1,'DDR4 Spec'!E43,IF('DDR4 Config'!$H$1=2,'DDR4 Spec'!P43,'DDR4 Spec'!AA43))</f>
        <v>5.3</v>
      </c>
      <c r="F93" s="62">
        <f>IF('DDR4 Config'!$H$1=1,'DDR4 Spec'!F43,IF('DDR4 Config'!$H$1=2,'DDR4 Spec'!Q43,'DDR4 Spec'!Y43))</f>
        <v>5.3</v>
      </c>
      <c r="G93" s="62">
        <f>IF('DDR4 Config'!$H$1=1,'DDR4 Spec'!G43,IF('DDR4 Config'!$H$1=2,'DDR4 Spec'!R43,'DDR4 Spec'!Z43))</f>
        <v>5.3</v>
      </c>
      <c r="H93" s="62">
        <f>IF('DDR4 Config'!$H$1=1,'DDR4 Spec'!H43,IF('DDR4 Config'!$H$1=2,'DDR4 Spec'!S43,'DDR4 Spec'!AA43))</f>
        <v>4.9000000000000004</v>
      </c>
      <c r="I93" s="62">
        <f>IF('DDR4 Config'!$H$1=1,'DDR4 Spec'!I43,IF('DDR4 Config'!$H$1=2,'DDR4 Spec'!T43,'DDR4 Spec'!AE43))</f>
        <v>4.9000000000000004</v>
      </c>
      <c r="J93" s="62">
        <f>IF('DDR4 Config'!$H$1=1,'DDR4 Spec'!J43,IF('DDR4 Config'!$H$1=2,'DDR4 Spec'!U43,'DDR4 Spec'!AF43))</f>
        <v>4.9000000000000004</v>
      </c>
      <c r="K93" s="62">
        <f>IF('DDR4 Config'!$H$1=1,'DDR4 Spec'!K43,IF('DDR4 Config'!$H$1=2,'DDR4 Spec'!V43,'DDR4 Spec'!AG43))</f>
        <v>4.9000000000000004</v>
      </c>
      <c r="L93" s="62">
        <f>IF('DDR4 Config'!$H$1=1,'DDR4 Spec'!L43,IF('DDR4 Config'!$H$1=2,'DDR4 Spec'!W43,'DDR4 Spec'!AH43))</f>
        <v>4.9000000000000004</v>
      </c>
      <c r="M93" s="62">
        <f>IF('DDR4 Config'!$H$1=1,'DDR4 Spec'!M43,IF('DDR4 Config'!$H$1=2,'DDR4 Spec'!X43,'DDR4 Spec'!AI43))</f>
        <v>4.9000000000000004</v>
      </c>
      <c r="N93" s="62">
        <f>IF('DDR4 Config'!$H$1=1,'DDR4 Spec'!N43,IF('DDR4 Config'!$H$1=2,'DDR4 Spec'!Y43,'DDR4 Spec'!AJ43))</f>
        <v>4.9000000000000004</v>
      </c>
      <c r="O93" s="62">
        <f>HLOOKUP($O$55,$E$55:$N$100,39)</f>
        <v>4.9000000000000004</v>
      </c>
      <c r="P93" s="62"/>
      <c r="Q93" s="62"/>
      <c r="R93" s="62"/>
      <c r="S93" s="62"/>
      <c r="T93" s="62"/>
      <c r="U93" s="62"/>
      <c r="V93" s="62"/>
      <c r="W93" s="62"/>
      <c r="X93" s="62"/>
      <c r="Y93" s="62"/>
      <c r="Z93" s="62"/>
      <c r="AA93" s="62"/>
      <c r="AB93" s="62"/>
      <c r="AC93" s="62"/>
      <c r="AD93" s="62"/>
      <c r="AE93" s="62"/>
      <c r="AF93" s="62"/>
      <c r="AG93" s="62"/>
      <c r="AH93" s="62"/>
      <c r="AI93" s="62"/>
      <c r="AJ93" s="62"/>
      <c r="AK93" s="62"/>
      <c r="AL93" s="43"/>
    </row>
    <row r="94" spans="2:38" ht="27.75" hidden="1" customHeight="1">
      <c r="B94" s="64"/>
      <c r="C94" s="65"/>
      <c r="D94" s="343"/>
      <c r="E94" s="62">
        <f>IF('DDR4 Config'!$H$1=1,'DDR4 Spec'!E44,IF('DDR4 Config'!$H$1=2,'DDR4 Spec'!P44,'DDR4 Spec'!AA44))</f>
        <v>6.4</v>
      </c>
      <c r="F94" s="62">
        <f>IF('DDR4 Config'!$H$1=1,'DDR4 Spec'!F44,IF('DDR4 Config'!$H$1=2,'DDR4 Spec'!Q44,'DDR4 Spec'!Y44))</f>
        <v>6.4</v>
      </c>
      <c r="G94" s="62">
        <f>IF('DDR4 Config'!$H$1=1,'DDR4 Spec'!G44,IF('DDR4 Config'!$H$1=2,'DDR4 Spec'!R44,'DDR4 Spec'!Z44))</f>
        <v>6.4</v>
      </c>
      <c r="H94" s="62">
        <f>IF('DDR4 Config'!$H$1=1,'DDR4 Spec'!H44,IF('DDR4 Config'!$H$1=2,'DDR4 Spec'!S44,'DDR4 Spec'!AA44))</f>
        <v>6.4</v>
      </c>
      <c r="I94" s="62">
        <f>IF('DDR4 Config'!$H$1=1,'DDR4 Spec'!I44,IF('DDR4 Config'!$H$1=2,'DDR4 Spec'!T44,'DDR4 Spec'!AE44))</f>
        <v>6.4</v>
      </c>
      <c r="J94" s="62">
        <f>IF('DDR4 Config'!$H$1=1,'DDR4 Spec'!J44,IF('DDR4 Config'!$H$1=2,'DDR4 Spec'!U44,'DDR4 Spec'!AF44))</f>
        <v>6.4</v>
      </c>
      <c r="K94" s="62">
        <f>IF('DDR4 Config'!$H$1=1,'DDR4 Spec'!K44,IF('DDR4 Config'!$H$1=2,'DDR4 Spec'!V44,'DDR4 Spec'!AG44))</f>
        <v>6.4</v>
      </c>
      <c r="L94" s="62">
        <f>IF('DDR4 Config'!$H$1=1,'DDR4 Spec'!L44,IF('DDR4 Config'!$H$1=2,'DDR4 Spec'!W44,'DDR4 Spec'!AH44))</f>
        <v>6.4</v>
      </c>
      <c r="M94" s="62">
        <f>IF('DDR4 Config'!$H$1=1,'DDR4 Spec'!M44,IF('DDR4 Config'!$H$1=2,'DDR4 Spec'!X44,'DDR4 Spec'!AI44))</f>
        <v>6.4</v>
      </c>
      <c r="N94" s="62">
        <f>IF('DDR4 Config'!$H$1=1,'DDR4 Spec'!N44,IF('DDR4 Config'!$H$1=2,'DDR4 Spec'!Y44,'DDR4 Spec'!AJ44))</f>
        <v>6.4</v>
      </c>
      <c r="O94" s="62">
        <f>HLOOKUP($O$55,$E$55:$N$100,40)</f>
        <v>6.4</v>
      </c>
      <c r="P94" s="62"/>
      <c r="Q94" s="62"/>
      <c r="R94" s="62"/>
      <c r="S94" s="62"/>
      <c r="T94" s="62"/>
      <c r="U94" s="62"/>
      <c r="V94" s="62"/>
      <c r="W94" s="62"/>
      <c r="X94" s="62"/>
      <c r="Y94" s="62"/>
      <c r="Z94" s="62"/>
      <c r="AA94" s="62"/>
      <c r="AB94" s="62"/>
      <c r="AC94" s="62"/>
      <c r="AD94" s="62"/>
      <c r="AE94" s="62"/>
      <c r="AF94" s="62"/>
      <c r="AG94" s="62"/>
      <c r="AH94" s="62"/>
      <c r="AI94" s="62"/>
      <c r="AJ94" s="62"/>
      <c r="AK94" s="62"/>
      <c r="AL94" s="43"/>
    </row>
    <row r="95" spans="2:38" ht="27.75" hidden="1" customHeight="1">
      <c r="B95" s="64"/>
      <c r="C95" s="65"/>
      <c r="D95" s="83" t="s">
        <v>162</v>
      </c>
      <c r="E95" s="62">
        <f>IF('DDR4 Config'!$H$1=1,'DDR4 Spec'!E45,IF('DDR4 Config'!$H$1=2,'DDR4 Spec'!P45,'DDR4 Spec'!AA45))</f>
        <v>47.9</v>
      </c>
      <c r="F95" s="62">
        <f>IF('DDR4 Config'!$H$1=1,'DDR4 Spec'!F45,IF('DDR4 Config'!$H$1=2,'DDR4 Spec'!Q45,'DDR4 Spec'!Y45))</f>
        <v>48</v>
      </c>
      <c r="G95" s="62">
        <f>IF('DDR4 Config'!$H$1=1,'DDR4 Spec'!G45,IF('DDR4 Config'!$H$1=2,'DDR4 Spec'!R45,'DDR4 Spec'!Z45))</f>
        <v>47.06</v>
      </c>
      <c r="H95" s="62">
        <f>IF('DDR4 Config'!$H$1=1,'DDR4 Spec'!H45,IF('DDR4 Config'!$H$1=2,'DDR4 Spec'!S45,'DDR4 Spec'!AA45))</f>
        <v>46.16</v>
      </c>
      <c r="I95" s="62">
        <f>IF('DDR4 Config'!$H$1=1,'DDR4 Spec'!I45,IF('DDR4 Config'!$H$1=2,'DDR4 Spec'!T45,'DDR4 Spec'!AE45))</f>
        <v>45.32</v>
      </c>
      <c r="J95" s="62">
        <f>IF('DDR4 Config'!$H$1=1,'DDR4 Spec'!J45,IF('DDR4 Config'!$H$1=2,'DDR4 Spec'!U45,'DDR4 Spec'!AF45))</f>
        <v>46.16</v>
      </c>
      <c r="K95" s="62">
        <f>IF('DDR4 Config'!$H$1=1,'DDR4 Spec'!K45,IF('DDR4 Config'!$H$1=2,'DDR4 Spec'!V45,'DDR4 Spec'!AG45))</f>
        <v>45.5</v>
      </c>
      <c r="L95" s="62">
        <f>IF('DDR4 Config'!$H$1=1,'DDR4 Spec'!L45,IF('DDR4 Config'!$H$1=2,'DDR4 Spec'!W45,'DDR4 Spec'!AH45))</f>
        <v>46.32</v>
      </c>
      <c r="M95" s="62">
        <f>IF('DDR4 Config'!$H$1=1,'DDR4 Spec'!M45,IF('DDR4 Config'!$H$1=2,'DDR4 Spec'!X45,'DDR4 Spec'!AI45))</f>
        <v>45.64</v>
      </c>
      <c r="N95" s="62">
        <f>IF('DDR4 Config'!$H$1=1,'DDR4 Spec'!N45,IF('DDR4 Config'!$H$1=2,'DDR4 Spec'!Y45,'DDR4 Spec'!AJ45))</f>
        <v>45.75</v>
      </c>
      <c r="O95" s="62">
        <f>HLOOKUP($O$55,$E$55:$N$100,41)</f>
        <v>45.5</v>
      </c>
      <c r="P95" s="62"/>
      <c r="Q95" s="62"/>
      <c r="R95" s="62"/>
      <c r="S95" s="62"/>
      <c r="T95" s="62"/>
      <c r="U95" s="62"/>
      <c r="V95" s="62"/>
      <c r="W95" s="62"/>
      <c r="X95" s="62"/>
      <c r="Y95" s="62"/>
      <c r="Z95" s="62"/>
      <c r="AA95" s="62"/>
      <c r="AB95" s="62"/>
      <c r="AC95" s="62"/>
      <c r="AD95" s="62"/>
      <c r="AE95" s="62"/>
      <c r="AF95" s="62"/>
      <c r="AG95" s="62"/>
      <c r="AH95" s="62"/>
      <c r="AI95" s="62"/>
      <c r="AJ95" s="62"/>
      <c r="AK95" s="62"/>
      <c r="AL95" s="43"/>
    </row>
    <row r="96" spans="2:38" ht="27.75" hidden="1" customHeight="1">
      <c r="B96" s="64"/>
      <c r="C96" s="65"/>
      <c r="D96" s="83" t="s">
        <v>163</v>
      </c>
      <c r="E96" s="62">
        <f>IF('DDR4 Config'!$H$1=1,'DDR4 Spec'!E46,IF('DDR4 Config'!$H$1=2,'DDR4 Spec'!P46,'DDR4 Spec'!AA46))</f>
        <v>34</v>
      </c>
      <c r="F96" s="62">
        <f>IF('DDR4 Config'!$H$1=1,'DDR4 Spec'!F46,IF('DDR4 Config'!$H$1=2,'DDR4 Spec'!Q46,'DDR4 Spec'!Y46))</f>
        <v>33</v>
      </c>
      <c r="G96" s="62">
        <f>IF('DDR4 Config'!$H$1=1,'DDR4 Spec'!G46,IF('DDR4 Config'!$H$1=2,'DDR4 Spec'!R46,'DDR4 Spec'!Z46))</f>
        <v>33</v>
      </c>
      <c r="H96" s="62">
        <f>IF('DDR4 Config'!$H$1=1,'DDR4 Spec'!H46,IF('DDR4 Config'!$H$1=2,'DDR4 Spec'!S46,'DDR4 Spec'!AA46))</f>
        <v>32</v>
      </c>
      <c r="I96" s="62">
        <f>IF('DDR4 Config'!$H$1=1,'DDR4 Spec'!I46,IF('DDR4 Config'!$H$1=2,'DDR4 Spec'!T46,'DDR4 Spec'!AE46))</f>
        <v>32</v>
      </c>
      <c r="J96" s="62">
        <f>IF('DDR4 Config'!$H$1=1,'DDR4 Spec'!J46,IF('DDR4 Config'!$H$1=2,'DDR4 Spec'!U46,'DDR4 Spec'!AF46))</f>
        <v>32</v>
      </c>
      <c r="K96" s="62">
        <f>IF('DDR4 Config'!$H$1=1,'DDR4 Spec'!K46,IF('DDR4 Config'!$H$1=2,'DDR4 Spec'!V46,'DDR4 Spec'!AG46))</f>
        <v>32</v>
      </c>
      <c r="L96" s="62">
        <f>IF('DDR4 Config'!$H$1=1,'DDR4 Spec'!L46,IF('DDR4 Config'!$H$1=2,'DDR4 Spec'!W46,'DDR4 Spec'!AH46))</f>
        <v>32</v>
      </c>
      <c r="M96" s="62">
        <f>IF('DDR4 Config'!$H$1=1,'DDR4 Spec'!M46,IF('DDR4 Config'!$H$1=2,'DDR4 Spec'!X46,'DDR4 Spec'!AI46))</f>
        <v>32</v>
      </c>
      <c r="N96" s="62">
        <f>IF('DDR4 Config'!$H$1=1,'DDR4 Spec'!N46,IF('DDR4 Config'!$H$1=2,'DDR4 Spec'!Y46,'DDR4 Spec'!AJ46))</f>
        <v>32</v>
      </c>
      <c r="O96" s="62">
        <f>HLOOKUP($O$55,$E$55:$N$100,42)</f>
        <v>32</v>
      </c>
      <c r="P96" s="62"/>
      <c r="Q96" s="62"/>
      <c r="R96" s="62"/>
      <c r="S96" s="62"/>
      <c r="T96" s="62"/>
      <c r="U96" s="62"/>
      <c r="V96" s="62"/>
      <c r="W96" s="62"/>
      <c r="X96" s="62"/>
      <c r="Y96" s="62"/>
      <c r="Z96" s="62"/>
      <c r="AA96" s="62"/>
      <c r="AB96" s="62"/>
      <c r="AC96" s="62"/>
      <c r="AD96" s="62"/>
      <c r="AE96" s="62"/>
      <c r="AF96" s="62"/>
      <c r="AG96" s="62"/>
      <c r="AH96" s="62"/>
      <c r="AI96" s="62"/>
      <c r="AJ96" s="62"/>
      <c r="AK96" s="62"/>
      <c r="AL96" s="43"/>
    </row>
    <row r="97" spans="2:38" ht="27.75" hidden="1" customHeight="1">
      <c r="B97" s="64"/>
      <c r="C97" s="65"/>
      <c r="D97" s="83" t="s">
        <v>165</v>
      </c>
      <c r="E97" s="62">
        <f>IF('DDR4 Config'!$H$1=1,'DDR4 Spec'!E47,IF('DDR4 Config'!$H$1=2,'DDR4 Spec'!P47,'DDR4 Spec'!AA47))</f>
        <v>260</v>
      </c>
      <c r="F97" s="62">
        <f>IF('DDR4 Config'!$H$1=1,'DDR4 Spec'!F47,IF('DDR4 Config'!$H$1=2,'DDR4 Spec'!Q47,'DDR4 Spec'!Y47))</f>
        <v>260</v>
      </c>
      <c r="G97" s="62">
        <f>IF('DDR4 Config'!$H$1=1,'DDR4 Spec'!G47,IF('DDR4 Config'!$H$1=2,'DDR4 Spec'!R47,'DDR4 Spec'!Z47))</f>
        <v>260</v>
      </c>
      <c r="H97" s="62">
        <f>IF('DDR4 Config'!$H$1=1,'DDR4 Spec'!H47,IF('DDR4 Config'!$H$1=2,'DDR4 Spec'!S47,'DDR4 Spec'!AA47))</f>
        <v>260</v>
      </c>
      <c r="I97" s="62">
        <f>IF('DDR4 Config'!$H$1=1,'DDR4 Spec'!I47,IF('DDR4 Config'!$H$1=2,'DDR4 Spec'!T47,'DDR4 Spec'!AE47))</f>
        <v>260</v>
      </c>
      <c r="J97" s="62">
        <f>IF('DDR4 Config'!$H$1=1,'DDR4 Spec'!J47,IF('DDR4 Config'!$H$1=2,'DDR4 Spec'!U47,'DDR4 Spec'!AF47))</f>
        <v>260</v>
      </c>
      <c r="K97" s="62">
        <f>IF('DDR4 Config'!$H$1=1,'DDR4 Spec'!K47,IF('DDR4 Config'!$H$1=2,'DDR4 Spec'!V47,'DDR4 Spec'!AG47))</f>
        <v>260</v>
      </c>
      <c r="L97" s="62">
        <f>IF('DDR4 Config'!$H$1=1,'DDR4 Spec'!L47,IF('DDR4 Config'!$H$1=2,'DDR4 Spec'!W47,'DDR4 Spec'!AH47))</f>
        <v>260</v>
      </c>
      <c r="M97" s="62">
        <f>IF('DDR4 Config'!$H$1=1,'DDR4 Spec'!M47,IF('DDR4 Config'!$H$1=2,'DDR4 Spec'!X47,'DDR4 Spec'!AI47))</f>
        <v>260</v>
      </c>
      <c r="N97" s="62">
        <f>IF('DDR4 Config'!$H$1=1,'DDR4 Spec'!N47,IF('DDR4 Config'!$H$1=2,'DDR4 Spec'!Y47,'DDR4 Spec'!AJ47))</f>
        <v>260</v>
      </c>
      <c r="O97" s="62">
        <f>HLOOKUP($O$55,$E$55:$N$100,43)</f>
        <v>260</v>
      </c>
      <c r="P97" s="62"/>
      <c r="Q97" s="62"/>
      <c r="R97" s="62"/>
      <c r="S97" s="62"/>
      <c r="T97" s="62"/>
      <c r="U97" s="62"/>
      <c r="V97" s="62"/>
      <c r="W97" s="62"/>
      <c r="X97" s="62"/>
      <c r="Y97" s="62"/>
      <c r="Z97" s="62"/>
      <c r="AA97" s="62"/>
      <c r="AB97" s="62"/>
      <c r="AC97" s="62"/>
      <c r="AD97" s="62"/>
      <c r="AE97" s="62"/>
      <c r="AF97" s="62"/>
      <c r="AG97" s="62"/>
      <c r="AH97" s="62"/>
      <c r="AI97" s="62"/>
      <c r="AJ97" s="62"/>
      <c r="AK97" s="62"/>
      <c r="AL97" s="43"/>
    </row>
    <row r="98" spans="2:38" ht="27.75" hidden="1" customHeight="1">
      <c r="B98" s="64"/>
      <c r="C98" s="65"/>
      <c r="D98" s="83" t="s">
        <v>166</v>
      </c>
      <c r="E98" s="62">
        <f>IF('DDR4 Config'!$H$1=1,'DDR4 Spec'!E48,IF('DDR4 Config'!$H$1=2,'DDR4 Spec'!P48,'DDR4 Spec'!AA48))</f>
        <v>7.8</v>
      </c>
      <c r="F98" s="62">
        <f>IF('DDR4 Config'!$H$1=1,'DDR4 Spec'!F48,IF('DDR4 Config'!$H$1=2,'DDR4 Spec'!Q48,'DDR4 Spec'!Y48))</f>
        <v>7.8</v>
      </c>
      <c r="G98" s="62">
        <f>IF('DDR4 Config'!$H$1=1,'DDR4 Spec'!G48,IF('DDR4 Config'!$H$1=2,'DDR4 Spec'!R48,'DDR4 Spec'!Z48))</f>
        <v>7.8</v>
      </c>
      <c r="H98" s="62">
        <f>IF('DDR4 Config'!$H$1=1,'DDR4 Spec'!H48,IF('DDR4 Config'!$H$1=2,'DDR4 Spec'!S48,'DDR4 Spec'!AA48))</f>
        <v>7.8</v>
      </c>
      <c r="I98" s="62">
        <f>IF('DDR4 Config'!$H$1=1,'DDR4 Spec'!I48,IF('DDR4 Config'!$H$1=2,'DDR4 Spec'!T48,'DDR4 Spec'!AE48))</f>
        <v>7.8</v>
      </c>
      <c r="J98" s="62">
        <f>IF('DDR4 Config'!$H$1=1,'DDR4 Spec'!J48,IF('DDR4 Config'!$H$1=2,'DDR4 Spec'!U48,'DDR4 Spec'!AF48))</f>
        <v>7.8</v>
      </c>
      <c r="K98" s="62">
        <f>IF('DDR4 Config'!$H$1=1,'DDR4 Spec'!K48,IF('DDR4 Config'!$H$1=2,'DDR4 Spec'!V48,'DDR4 Spec'!AG48))</f>
        <v>7.8</v>
      </c>
      <c r="L98" s="62">
        <f>IF('DDR4 Config'!$H$1=1,'DDR4 Spec'!L48,IF('DDR4 Config'!$H$1=2,'DDR4 Spec'!W48,'DDR4 Spec'!AH48))</f>
        <v>7.8</v>
      </c>
      <c r="M98" s="62">
        <f>IF('DDR4 Config'!$H$1=1,'DDR4 Spec'!M48,IF('DDR4 Config'!$H$1=2,'DDR4 Spec'!X48,'DDR4 Spec'!AI48))</f>
        <v>7.8</v>
      </c>
      <c r="N98" s="62">
        <f>IF('DDR4 Config'!$H$1=1,'DDR4 Spec'!N48,IF('DDR4 Config'!$H$1=2,'DDR4 Spec'!Y48,'DDR4 Spec'!AJ48))</f>
        <v>7.8</v>
      </c>
      <c r="O98" s="62">
        <f>HLOOKUP($O$55,$E$55:$N$100,44)</f>
        <v>7.8</v>
      </c>
      <c r="P98" s="62"/>
      <c r="Q98" s="62"/>
      <c r="R98" s="62"/>
      <c r="S98" s="62"/>
      <c r="T98" s="62"/>
      <c r="U98" s="62"/>
      <c r="V98" s="62"/>
      <c r="W98" s="62"/>
      <c r="X98" s="62"/>
      <c r="Y98" s="62"/>
      <c r="Z98" s="62"/>
      <c r="AA98" s="62"/>
      <c r="AB98" s="62"/>
      <c r="AC98" s="62"/>
      <c r="AD98" s="62"/>
      <c r="AE98" s="62"/>
      <c r="AF98" s="62"/>
      <c r="AG98" s="62"/>
      <c r="AH98" s="62"/>
      <c r="AI98" s="62"/>
      <c r="AJ98" s="62"/>
      <c r="AK98" s="62"/>
      <c r="AL98" s="43"/>
    </row>
    <row r="99" spans="2:38" ht="27.75" hidden="1" customHeight="1">
      <c r="B99" s="64"/>
      <c r="C99" s="65"/>
      <c r="D99" s="83" t="s">
        <v>167</v>
      </c>
      <c r="E99" s="62">
        <f>IF('DDR4 Config'!$H$1=1,'DDR4 Spec'!E49,IF('DDR4 Config'!$H$1=2,'DDR4 Spec'!P49,'DDR4 Spec'!AA49))</f>
        <v>1.0708113612004289</v>
      </c>
      <c r="F99" s="251">
        <f>IF('DDR4 Config'!$H$1=1,'DDR4 Spec'!F49,IF('DDR4 Config'!$H$1=2,'DDR4 Spec'!Q49,'DDR4 Spec'!Y49))</f>
        <v>0.93664650726676046</v>
      </c>
      <c r="G99" s="251">
        <f>IF('DDR4 Config'!$H$1=1,'DDR4 Spec'!G49,IF('DDR4 Config'!$H$1=2,'DDR4 Spec'!R49,'DDR4 Spec'!Z49))</f>
        <v>0.93664650726676046</v>
      </c>
      <c r="H99" s="251">
        <f>IF('DDR4 Config'!$H$1=1,'DDR4 Spec'!H49,IF('DDR4 Config'!$H$1=2,'DDR4 Spec'!S49,'DDR4 Spec'!AA49))</f>
        <v>0.83333333333333337</v>
      </c>
      <c r="I99" s="251">
        <f>IF('DDR4 Config'!$H$1=1,'DDR4 Spec'!I49,IF('DDR4 Config'!$H$1=2,'DDR4 Spec'!T49,'DDR4 Spec'!AE49))</f>
        <v>0.83333333333333337</v>
      </c>
      <c r="J99" s="251">
        <f>IF('DDR4 Config'!$H$1=1,'DDR4 Spec'!J49,IF('DDR4 Config'!$H$1=2,'DDR4 Spec'!U49,'DDR4 Spec'!AF49))</f>
        <v>0.75018754688672173</v>
      </c>
      <c r="K99" s="251">
        <f>IF('DDR4 Config'!$H$1=1,'DDR4 Spec'!K49,IF('DDR4 Config'!$H$1=2,'DDR4 Spec'!V49,'DDR4 Spec'!AG49))</f>
        <v>0.75018754688672173</v>
      </c>
      <c r="L99" s="251">
        <f>IF('DDR4 Config'!$H$1=1,'DDR4 Spec'!L49,IF('DDR4 Config'!$H$1=2,'DDR4 Spec'!W49,'DDR4 Spec'!AH49))</f>
        <v>0.68189566996249573</v>
      </c>
      <c r="M99" s="251">
        <f>IF('DDR4 Config'!$H$1=1,'DDR4 Spec'!M49,IF('DDR4 Config'!$H$1=2,'DDR4 Spec'!X49,'DDR4 Spec'!AI49))</f>
        <v>0.68189566996249573</v>
      </c>
      <c r="N99" s="251">
        <f>IF('DDR4 Config'!$H$1=1,'DDR4 Spec'!N49,IF('DDR4 Config'!$H$1=2,'DDR4 Spec'!Y49,'DDR4 Spec'!AJ49))</f>
        <v>0.625</v>
      </c>
      <c r="O99" s="62">
        <f>HLOOKUP($O$55,$E$55:$N$100,45)</f>
        <v>0.75018754688672173</v>
      </c>
      <c r="P99" s="62"/>
      <c r="Q99" s="62"/>
      <c r="R99" s="62"/>
      <c r="S99" s="62"/>
      <c r="T99" s="62"/>
      <c r="U99" s="62"/>
      <c r="V99" s="62"/>
      <c r="W99" s="62"/>
      <c r="X99" s="62"/>
      <c r="Y99" s="62"/>
      <c r="Z99" s="62"/>
      <c r="AA99" s="62"/>
      <c r="AB99" s="62"/>
      <c r="AC99" s="62"/>
      <c r="AD99" s="62"/>
      <c r="AE99" s="62"/>
      <c r="AF99" s="62"/>
      <c r="AG99" s="62"/>
      <c r="AH99" s="62"/>
      <c r="AI99" s="62"/>
      <c r="AJ99" s="62"/>
      <c r="AK99" s="62"/>
      <c r="AL99" s="43"/>
    </row>
    <row r="100" spans="2:38" ht="27.75" hidden="1" customHeight="1">
      <c r="B100" s="64"/>
      <c r="C100" s="65"/>
      <c r="D100" s="83" t="s">
        <v>169</v>
      </c>
      <c r="E100" s="62">
        <f>IF('DDR4 Config'!$H$1=1,'DDR4 Spec'!E50,IF('DDR4 Config'!$H$1=2,'DDR4 Spec'!P50,'DDR4 Spec'!AA50))</f>
        <v>1.9</v>
      </c>
      <c r="F100" s="62">
        <f>IF('DDR4 Config'!$H$1=1,'DDR4 Spec'!F50,IF('DDR4 Config'!$H$1=2,'DDR4 Spec'!Q50,'DDR4 Spec'!Y50))</f>
        <v>1.9</v>
      </c>
      <c r="G100" s="62">
        <f>IF('DDR4 Config'!$H$1=1,'DDR4 Spec'!G50,IF('DDR4 Config'!$H$1=2,'DDR4 Spec'!R50,'DDR4 Spec'!Z50))</f>
        <v>1.9</v>
      </c>
      <c r="H100" s="62">
        <f>IF('DDR4 Config'!$H$1=1,'DDR4 Spec'!H50,IF('DDR4 Config'!$H$1=2,'DDR4 Spec'!S50,'DDR4 Spec'!AA50))</f>
        <v>1.9</v>
      </c>
      <c r="I100" s="62">
        <f>IF('DDR4 Config'!$H$1=1,'DDR4 Spec'!I50,IF('DDR4 Config'!$H$1=2,'DDR4 Spec'!T50,'DDR4 Spec'!AE50))</f>
        <v>1.9</v>
      </c>
      <c r="J100" s="62">
        <f>IF('DDR4 Config'!$H$1=1,'DDR4 Spec'!J50,IF('DDR4 Config'!$H$1=2,'DDR4 Spec'!U50,'DDR4 Spec'!AF50))</f>
        <v>1.9</v>
      </c>
      <c r="K100" s="62">
        <f>IF('DDR4 Config'!$H$1=1,'DDR4 Spec'!K50,IF('DDR4 Config'!$H$1=2,'DDR4 Spec'!V50,'DDR4 Spec'!AG50))</f>
        <v>1.9</v>
      </c>
      <c r="L100" s="62">
        <f>IF('DDR4 Config'!$H$1=1,'DDR4 Spec'!L50,IF('DDR4 Config'!$H$1=2,'DDR4 Spec'!W50,'DDR4 Spec'!AH50))</f>
        <v>1.9</v>
      </c>
      <c r="M100" s="62">
        <f>IF('DDR4 Config'!$H$1=1,'DDR4 Spec'!M50,IF('DDR4 Config'!$H$1=2,'DDR4 Spec'!X50,'DDR4 Spec'!AI50))</f>
        <v>1.9</v>
      </c>
      <c r="N100" s="62">
        <f>IF('DDR4 Config'!$H$1=1,'DDR4 Spec'!N50,IF('DDR4 Config'!$H$1=2,'DDR4 Spec'!Y50,'DDR4 Spec'!AJ50))</f>
        <v>1.9</v>
      </c>
      <c r="O100" s="62">
        <f>HLOOKUP($O$55,$E$55:$N$100,46)</f>
        <v>1.9</v>
      </c>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43"/>
    </row>
    <row r="101" spans="2:38" ht="27.75" hidden="1" customHeight="1" thickBot="1">
      <c r="B101" s="64"/>
      <c r="C101" s="65"/>
      <c r="D101" s="64"/>
      <c r="E101" s="64"/>
      <c r="F101" s="62"/>
      <c r="G101" s="62"/>
      <c r="H101" s="62"/>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43"/>
    </row>
    <row r="102" spans="2:38" ht="27.75" hidden="1" customHeight="1">
      <c r="B102" s="66" t="s">
        <v>46</v>
      </c>
      <c r="C102" s="67" t="s">
        <v>47</v>
      </c>
      <c r="D102" s="64"/>
      <c r="E102" s="64"/>
      <c r="F102" s="62"/>
      <c r="G102" s="62"/>
      <c r="H102" s="62"/>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43"/>
    </row>
    <row r="103" spans="2:38" ht="27.75" hidden="1" customHeight="1">
      <c r="B103" s="58"/>
      <c r="C103" s="59" t="s">
        <v>158</v>
      </c>
      <c r="D103" s="228">
        <f>F56</f>
        <v>1.26</v>
      </c>
      <c r="E103" s="64"/>
      <c r="F103" s="62"/>
      <c r="G103" s="62"/>
      <c r="H103" s="62"/>
      <c r="I103" s="62"/>
      <c r="J103" s="62"/>
      <c r="K103" s="62"/>
      <c r="L103" s="62"/>
      <c r="M103" s="62">
        <v>55</v>
      </c>
      <c r="N103" s="62">
        <f>P56</f>
        <v>0</v>
      </c>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43"/>
    </row>
    <row r="104" spans="2:38" ht="27.75" hidden="1" customHeight="1">
      <c r="B104" s="58"/>
      <c r="C104" s="59" t="s">
        <v>159</v>
      </c>
      <c r="D104" s="228">
        <f>F57</f>
        <v>1.1399999999999999</v>
      </c>
      <c r="E104" s="64"/>
      <c r="F104" s="62"/>
      <c r="G104" s="62"/>
      <c r="H104" s="62"/>
      <c r="I104" s="62"/>
      <c r="J104" s="62"/>
      <c r="K104" s="62"/>
      <c r="L104" s="62"/>
      <c r="M104" s="62">
        <v>55</v>
      </c>
      <c r="N104" s="62">
        <f>P57</f>
        <v>0</v>
      </c>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43"/>
    </row>
    <row r="105" spans="2:38" ht="27.75" hidden="1" customHeight="1">
      <c r="B105" s="58"/>
      <c r="C105" s="227" t="s">
        <v>273</v>
      </c>
      <c r="D105" s="228">
        <f>F58</f>
        <v>2.75</v>
      </c>
      <c r="E105" s="64"/>
      <c r="F105" s="62"/>
      <c r="G105" s="62"/>
      <c r="H105" s="62"/>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43"/>
    </row>
    <row r="106" spans="2:38" ht="27.75" hidden="1" customHeight="1">
      <c r="B106" s="58"/>
      <c r="C106" s="227" t="s">
        <v>274</v>
      </c>
      <c r="D106" s="228">
        <f>F59</f>
        <v>2.375</v>
      </c>
      <c r="E106" s="64"/>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43"/>
    </row>
    <row r="107" spans="2:38" ht="27.75" hidden="1" customHeight="1">
      <c r="B107" s="58"/>
      <c r="C107" s="59"/>
      <c r="D107" s="228"/>
      <c r="E107" s="64"/>
      <c r="F107" s="62"/>
      <c r="G107" s="62"/>
      <c r="H107" s="62"/>
      <c r="I107" s="62"/>
      <c r="J107" s="62"/>
      <c r="K107" s="62"/>
      <c r="L107" s="62"/>
      <c r="M107" s="62">
        <v>55</v>
      </c>
      <c r="N107" s="62"/>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43"/>
    </row>
    <row r="108" spans="2:38" ht="27.75" hidden="1" customHeight="1">
      <c r="B108" s="58" t="s">
        <v>146</v>
      </c>
      <c r="C108" s="59" t="s">
        <v>75</v>
      </c>
      <c r="D108" s="228">
        <f>IF('DDR4 Config'!L1=3,'DDR4 Spec'!O63,          IF('DDR4 Config'!L1=2,             'DDR4 Spec'!O62,             'DDR4 Spec'!O61          )             )</f>
        <v>70</v>
      </c>
      <c r="E108" s="64"/>
      <c r="F108" s="62"/>
      <c r="G108" s="62"/>
      <c r="H108" s="62"/>
      <c r="I108" s="62"/>
      <c r="J108" s="62"/>
      <c r="K108" s="62"/>
      <c r="L108" s="62"/>
      <c r="M108" s="62">
        <v>55</v>
      </c>
      <c r="N108" s="62">
        <f>IF('DDR4 Config'!M1=3,'DDR4 Spec'!P63,'DDR4 Spec'!P61)</f>
        <v>0</v>
      </c>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43"/>
    </row>
    <row r="109" spans="2:38" ht="27.75" hidden="1" customHeight="1">
      <c r="B109" s="226" t="s">
        <v>271</v>
      </c>
      <c r="C109" s="227" t="s">
        <v>310</v>
      </c>
      <c r="D109" s="229">
        <f>IF('DDR4 Config'!L1=3,'DDR4 Spec'!O65,'DDR4 Spec'!O64)</f>
        <v>3.6</v>
      </c>
      <c r="E109" s="64"/>
      <c r="F109" s="62"/>
      <c r="G109" s="62"/>
      <c r="H109" s="62"/>
      <c r="I109" s="62"/>
      <c r="J109" s="62"/>
      <c r="K109" s="62"/>
      <c r="L109" s="62"/>
      <c r="M109" s="62">
        <v>55</v>
      </c>
      <c r="N109" s="62" t="e">
        <f>IF('DDR4 Config'!#REF!=3,'DDR4 Spec'!P61,'DDR4 Spec'!P60)</f>
        <v>#REF!</v>
      </c>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43"/>
    </row>
    <row r="110" spans="2:38" ht="27.75" hidden="1" customHeight="1">
      <c r="B110" s="58" t="s">
        <v>147</v>
      </c>
      <c r="C110" s="59" t="s">
        <v>17</v>
      </c>
      <c r="D110" s="228">
        <f>IF('DDR4 Config'!L1=3,'DDR4 Spec'!O67,'DDR4 Spec'!O66)</f>
        <v>34</v>
      </c>
      <c r="E110" s="64"/>
      <c r="F110" s="62"/>
      <c r="G110" s="62"/>
      <c r="H110" s="62"/>
      <c r="I110" s="62"/>
      <c r="J110" s="62"/>
      <c r="K110" s="62"/>
      <c r="L110" s="62"/>
      <c r="M110" s="62">
        <v>55</v>
      </c>
      <c r="N110" s="62">
        <f>IF('DDR4 Config'!M1=3,'DDR4 Spec'!P67,'DDR4 Spec'!P66)</f>
        <v>0</v>
      </c>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43"/>
    </row>
    <row r="111" spans="2:38" ht="27.75" hidden="1" customHeight="1">
      <c r="B111" s="58" t="s">
        <v>148</v>
      </c>
      <c r="C111" s="59" t="s">
        <v>18</v>
      </c>
      <c r="D111" s="228">
        <f>IF('DDR4 Config'!L1=3,'DDR4 Spec'!O69,'DDR4 Spec'!O68)</f>
        <v>50</v>
      </c>
      <c r="E111" s="64"/>
      <c r="F111" s="62"/>
      <c r="G111" s="62"/>
      <c r="H111" s="62"/>
      <c r="I111" s="62"/>
      <c r="J111" s="62"/>
      <c r="K111" s="62"/>
      <c r="L111" s="62"/>
      <c r="M111" s="62">
        <v>55</v>
      </c>
      <c r="N111" s="62">
        <f>IF('DDR4 Config'!M1=3,'DDR4 Spec'!P69,'DDR4 Spec'!P68)</f>
        <v>0</v>
      </c>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43"/>
    </row>
    <row r="112" spans="2:38" ht="27.75" hidden="1" customHeight="1">
      <c r="B112" s="226"/>
      <c r="C112" s="227"/>
      <c r="D112" s="229"/>
      <c r="E112" s="64"/>
      <c r="F112" s="62"/>
      <c r="G112" s="62"/>
      <c r="H112" s="62"/>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43"/>
    </row>
    <row r="113" spans="2:38" ht="27.75" hidden="1" customHeight="1">
      <c r="B113" s="226" t="s">
        <v>149</v>
      </c>
      <c r="C113" s="59" t="s">
        <v>19</v>
      </c>
      <c r="D113" s="228">
        <f>IF('DDR4 Config'!L1=3,'DDR4 Spec'!O72,'DDR4 Spec'!O70)</f>
        <v>40</v>
      </c>
      <c r="E113" s="64"/>
      <c r="F113" s="62"/>
      <c r="G113" s="62"/>
      <c r="H113" s="62"/>
      <c r="I113" s="62"/>
      <c r="J113" s="62"/>
      <c r="K113" s="62"/>
      <c r="L113" s="62"/>
      <c r="M113" s="62">
        <v>55</v>
      </c>
      <c r="N113" s="62">
        <f>IF('DDR4 Config'!M1=3,'DDR4 Spec'!P72,'DDR4 Spec'!P70)</f>
        <v>0</v>
      </c>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43"/>
    </row>
    <row r="114" spans="2:38" ht="27.75" hidden="1" customHeight="1">
      <c r="B114" s="58" t="s">
        <v>150</v>
      </c>
      <c r="C114" s="59" t="s">
        <v>20</v>
      </c>
      <c r="D114" s="228">
        <f>IF('DDR4 Config'!L1=3,'DDR4 Spec'!O75,'DDR4 Spec'!O73)</f>
        <v>65</v>
      </c>
      <c r="E114" s="64"/>
      <c r="F114" s="62"/>
      <c r="G114" s="62"/>
      <c r="H114" s="62"/>
      <c r="I114" s="62"/>
      <c r="J114" s="62"/>
      <c r="K114" s="62"/>
      <c r="L114" s="62"/>
      <c r="M114" s="62">
        <v>55</v>
      </c>
      <c r="N114" s="62">
        <f>IF('DDR4 Config'!M1=3,'DDR4 Spec'!P75,'DDR4 Spec'!P73)</f>
        <v>0</v>
      </c>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43"/>
    </row>
    <row r="115" spans="2:38" ht="27.75" hidden="1" customHeight="1">
      <c r="B115" s="226" t="s">
        <v>270</v>
      </c>
      <c r="C115" s="227" t="s">
        <v>311</v>
      </c>
      <c r="D115" s="228">
        <f>IF('DDR4 Config'!L1=3,'DDR4 Spec'!O77,'DDR4 Spec'!O76)</f>
        <v>3</v>
      </c>
      <c r="E115" s="64"/>
      <c r="F115" s="62"/>
      <c r="G115" s="62"/>
      <c r="H115" s="62"/>
      <c r="I115" s="62"/>
      <c r="J115" s="62"/>
      <c r="K115" s="62"/>
      <c r="L115" s="62"/>
      <c r="M115" s="62">
        <v>55</v>
      </c>
      <c r="N115" s="230" t="s">
        <v>196</v>
      </c>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43"/>
    </row>
    <row r="116" spans="2:38" ht="27.75" hidden="1" customHeight="1">
      <c r="B116" s="58" t="s">
        <v>151</v>
      </c>
      <c r="C116" s="59" t="s">
        <v>21</v>
      </c>
      <c r="D116" s="228">
        <f>IF('DDR4 Config'!L1=3,'DDR4 Spec'!O80,          IF('DDR4 Config'!L1=2,             'DDR4 Spec'!O79,             'DDR4 Spec'!O78          )             )</f>
        <v>225</v>
      </c>
      <c r="E116" s="64"/>
      <c r="F116" s="62"/>
      <c r="G116" s="62"/>
      <c r="H116" s="62"/>
      <c r="I116" s="62"/>
      <c r="J116" s="62"/>
      <c r="K116" s="62"/>
      <c r="L116" s="62"/>
      <c r="M116" s="62">
        <v>55</v>
      </c>
      <c r="N116" s="62">
        <f>IF('DDR4 Config'!M1=3,'DDR4 Spec'!P80,          IF('DDR4 Config'!M1=2,             'DDR4 Spec'!P79,             'DDR4 Spec'!P78          )             )</f>
        <v>0</v>
      </c>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43"/>
    </row>
    <row r="117" spans="2:38" ht="27.75" hidden="1" customHeight="1">
      <c r="B117" s="226" t="s">
        <v>152</v>
      </c>
      <c r="C117" s="59" t="s">
        <v>22</v>
      </c>
      <c r="D117" s="228">
        <f>IF('DDR4 Config'!L1=3,'DDR4 Spec'!O83,          IF('DDR4 Config'!L1=2,             'DDR4 Spec'!O82,             'DDR4 Spec'!O81          )             )</f>
        <v>310</v>
      </c>
      <c r="E117" s="64"/>
      <c r="F117" s="62"/>
      <c r="G117" s="62"/>
      <c r="H117" s="62"/>
      <c r="I117" s="62"/>
      <c r="J117" s="62"/>
      <c r="K117" s="62"/>
      <c r="L117" s="62"/>
      <c r="M117" s="62">
        <v>55</v>
      </c>
      <c r="N117" s="62">
        <f>IF('DDR4 Config'!M1=3,'DDR4 Spec'!P83,          IF('DDR4 Config'!M1=2,             'DDR4 Spec'!P82,             'DDR4 Spec'!P81          )             )</f>
        <v>0</v>
      </c>
      <c r="O117" s="62"/>
      <c r="P117" s="62"/>
      <c r="Q117" s="62"/>
      <c r="R117" s="62"/>
      <c r="S117" s="62"/>
      <c r="T117" s="62"/>
      <c r="U117" s="62"/>
      <c r="V117" s="62"/>
      <c r="W117" s="62"/>
      <c r="X117" s="62"/>
      <c r="Y117" s="62"/>
      <c r="Z117" s="62"/>
      <c r="AA117" s="62"/>
      <c r="AB117" s="62"/>
      <c r="AC117" s="62"/>
      <c r="AD117" s="62"/>
      <c r="AE117" s="62"/>
      <c r="AF117" s="62"/>
      <c r="AG117" s="62"/>
      <c r="AH117" s="62"/>
      <c r="AI117" s="62"/>
      <c r="AJ117" s="62"/>
      <c r="AK117" s="62"/>
      <c r="AL117" s="43"/>
    </row>
    <row r="118" spans="2:38" ht="27.75" hidden="1" customHeight="1">
      <c r="B118" s="226" t="s">
        <v>312</v>
      </c>
      <c r="C118" s="59" t="s">
        <v>27</v>
      </c>
      <c r="D118" s="228">
        <f>IF('DDR4 Config'!L1=3,'DDR4 Spec'!O85,'DDR4 Spec'!O84)</f>
        <v>175</v>
      </c>
      <c r="E118" s="64"/>
      <c r="F118" s="62"/>
      <c r="G118" s="62"/>
      <c r="H118" s="62"/>
      <c r="I118" s="62"/>
      <c r="J118" s="62"/>
      <c r="K118" s="62"/>
      <c r="L118" s="62"/>
      <c r="M118" s="62">
        <v>55</v>
      </c>
      <c r="N118" s="62">
        <f>IF('DDR4 Config'!M1=3,'DDR4 Spec'!P85,'DDR4 Spec'!P84)</f>
        <v>0</v>
      </c>
      <c r="O118" s="62"/>
      <c r="P118" s="62"/>
      <c r="Q118" s="62"/>
      <c r="R118" s="62"/>
      <c r="S118" s="62"/>
      <c r="T118" s="62"/>
      <c r="U118" s="62"/>
      <c r="V118" s="62"/>
      <c r="W118" s="62"/>
      <c r="X118" s="62"/>
      <c r="Y118" s="62"/>
      <c r="Z118" s="62"/>
      <c r="AA118" s="62"/>
      <c r="AB118" s="62"/>
      <c r="AC118" s="62"/>
      <c r="AD118" s="62"/>
      <c r="AE118" s="62"/>
      <c r="AF118" s="62"/>
      <c r="AG118" s="62"/>
      <c r="AH118" s="62"/>
      <c r="AI118" s="62"/>
      <c r="AJ118" s="62"/>
      <c r="AK118" s="62"/>
      <c r="AL118" s="43"/>
    </row>
    <row r="119" spans="2:38" ht="27.75" hidden="1" customHeight="1">
      <c r="B119" s="226" t="s">
        <v>313</v>
      </c>
      <c r="C119" s="227" t="s">
        <v>314</v>
      </c>
      <c r="D119" s="228">
        <f>IF('DDR4 Config'!L1=3,'DDR4 Spec'!O87,'DDR4 Spec'!O86)</f>
        <v>25</v>
      </c>
      <c r="E119" s="64"/>
      <c r="F119" s="62"/>
      <c r="G119" s="62"/>
      <c r="H119" s="62"/>
      <c r="I119" s="62"/>
      <c r="J119" s="62"/>
      <c r="K119" s="62"/>
      <c r="L119" s="62"/>
      <c r="M119" s="62">
        <v>55</v>
      </c>
      <c r="N119" s="62">
        <f>IF('DDR4 Config'!M2=3,'DDR4 Spec'!P86,'DDR4 Spec'!P85)</f>
        <v>0</v>
      </c>
      <c r="O119" s="62"/>
      <c r="P119" s="62"/>
      <c r="Q119" s="62"/>
      <c r="R119" s="62"/>
      <c r="S119" s="62"/>
      <c r="T119" s="62"/>
      <c r="U119" s="62"/>
      <c r="V119" s="62"/>
      <c r="W119" s="62"/>
      <c r="X119" s="62"/>
      <c r="Y119" s="62"/>
      <c r="Z119" s="62"/>
      <c r="AA119" s="62"/>
      <c r="AB119" s="62"/>
      <c r="AC119" s="62"/>
      <c r="AD119" s="62"/>
      <c r="AE119" s="62"/>
      <c r="AF119" s="62"/>
      <c r="AG119" s="62"/>
      <c r="AH119" s="62"/>
      <c r="AI119" s="62"/>
      <c r="AJ119" s="62"/>
      <c r="AK119" s="62"/>
      <c r="AL119" s="43"/>
    </row>
    <row r="120" spans="2:38" ht="27.75" hidden="1" customHeight="1">
      <c r="B120" s="58"/>
      <c r="C120" s="59"/>
      <c r="D120" s="228"/>
      <c r="E120" s="64"/>
      <c r="F120" s="62"/>
      <c r="G120" s="62"/>
      <c r="H120" s="62"/>
      <c r="I120" s="62"/>
      <c r="J120" s="62"/>
      <c r="K120" s="62"/>
      <c r="L120" s="62"/>
      <c r="M120" s="62">
        <v>55</v>
      </c>
      <c r="N120" s="62"/>
      <c r="O120" s="62"/>
      <c r="P120" s="62"/>
      <c r="Q120" s="62"/>
      <c r="R120" s="62"/>
      <c r="S120" s="62"/>
      <c r="T120" s="62"/>
      <c r="U120" s="62"/>
      <c r="V120" s="62"/>
      <c r="W120" s="62"/>
      <c r="X120" s="62"/>
      <c r="Y120" s="62"/>
      <c r="Z120" s="62"/>
      <c r="AA120" s="62"/>
      <c r="AB120" s="62"/>
      <c r="AC120" s="62"/>
      <c r="AD120" s="62"/>
      <c r="AE120" s="62"/>
      <c r="AF120" s="62"/>
      <c r="AG120" s="62"/>
      <c r="AH120" s="62"/>
      <c r="AI120" s="62"/>
      <c r="AJ120" s="62"/>
      <c r="AK120" s="62"/>
      <c r="AL120" s="43"/>
    </row>
    <row r="121" spans="2:38" ht="27.75" hidden="1" customHeight="1">
      <c r="B121" s="226" t="s">
        <v>254</v>
      </c>
      <c r="C121" s="63" t="s">
        <v>255</v>
      </c>
      <c r="D121" s="228">
        <f>O90</f>
        <v>0.75018754688672173</v>
      </c>
      <c r="E121" s="64"/>
      <c r="F121" s="62"/>
      <c r="G121" s="62"/>
      <c r="H121" s="62"/>
      <c r="I121" s="62"/>
      <c r="J121" s="62"/>
      <c r="K121" s="62"/>
      <c r="L121" s="62"/>
      <c r="M121" s="62">
        <v>55</v>
      </c>
      <c r="N121" s="62">
        <f>P90</f>
        <v>0</v>
      </c>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43"/>
    </row>
    <row r="122" spans="2:38" ht="27.75" hidden="1" customHeight="1">
      <c r="B122" s="68" t="s">
        <v>256</v>
      </c>
      <c r="C122" s="227" t="s">
        <v>258</v>
      </c>
      <c r="D122" s="228">
        <f>IF('DDR4 Config'!L1=3,'DDR4 Spec'!O92,'DDR4 Spec'!O91)</f>
        <v>5.3</v>
      </c>
      <c r="E122" s="64"/>
      <c r="F122" s="62"/>
      <c r="G122" s="62"/>
      <c r="H122" s="62"/>
      <c r="I122" s="62"/>
      <c r="J122" s="62"/>
      <c r="K122" s="62"/>
      <c r="L122" s="62"/>
      <c r="M122" s="62">
        <v>55</v>
      </c>
      <c r="N122" s="62">
        <f>IF('DDR4 Config'!M1=3,'DDR4 Spec'!P94,'DDR4 Spec'!P93)</f>
        <v>0</v>
      </c>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43"/>
    </row>
    <row r="123" spans="2:38" ht="27.75" hidden="1" customHeight="1">
      <c r="B123" s="68" t="s">
        <v>257</v>
      </c>
      <c r="C123" s="227" t="s">
        <v>259</v>
      </c>
      <c r="D123" s="228">
        <f>IF('DDR4 Config'!L1=3,'DDR4 Spec'!O94,'DDR4 Spec'!O93)</f>
        <v>6.4</v>
      </c>
      <c r="E123" s="64"/>
      <c r="F123" s="62"/>
      <c r="G123" s="62"/>
      <c r="H123" s="62"/>
      <c r="I123" s="62"/>
      <c r="J123" s="62"/>
      <c r="K123" s="62"/>
      <c r="L123" s="62"/>
      <c r="M123" s="62">
        <v>55</v>
      </c>
      <c r="N123" s="62">
        <f>IF('DDR4 Config'!M2=3,'DDR4 Spec'!P95,'DDR4 Spec'!P94)</f>
        <v>0</v>
      </c>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43"/>
    </row>
    <row r="124" spans="2:38" ht="27.75" hidden="1" customHeight="1">
      <c r="B124" s="68" t="s">
        <v>153</v>
      </c>
      <c r="C124" s="59" t="s">
        <v>1</v>
      </c>
      <c r="D124" s="228">
        <f t="shared" ref="D124:D129" si="7">O95</f>
        <v>45.5</v>
      </c>
      <c r="E124" s="64"/>
      <c r="F124" s="62"/>
      <c r="G124" s="62"/>
      <c r="H124" s="62"/>
      <c r="I124" s="62"/>
      <c r="J124" s="62"/>
      <c r="K124" s="62"/>
      <c r="L124" s="62"/>
      <c r="M124" s="62">
        <v>55</v>
      </c>
      <c r="N124" s="62">
        <f t="shared" ref="N124:N129" si="8">P95</f>
        <v>0</v>
      </c>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43"/>
    </row>
    <row r="125" spans="2:38" ht="27.75" hidden="1" customHeight="1">
      <c r="B125" s="68" t="s">
        <v>154</v>
      </c>
      <c r="C125" s="59" t="s">
        <v>26</v>
      </c>
      <c r="D125" s="228">
        <f t="shared" si="7"/>
        <v>32</v>
      </c>
      <c r="E125" s="64"/>
      <c r="F125" s="62"/>
      <c r="G125" s="62"/>
      <c r="H125" s="62"/>
      <c r="I125" s="62"/>
      <c r="J125" s="62"/>
      <c r="K125" s="62"/>
      <c r="L125" s="62"/>
      <c r="M125" s="62">
        <v>55</v>
      </c>
      <c r="N125" s="62">
        <f t="shared" si="8"/>
        <v>0</v>
      </c>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43"/>
    </row>
    <row r="126" spans="2:38" ht="27.75" hidden="1" customHeight="1">
      <c r="B126" s="68" t="s">
        <v>160</v>
      </c>
      <c r="C126" s="59" t="s">
        <v>82</v>
      </c>
      <c r="D126" s="228">
        <f t="shared" si="7"/>
        <v>260</v>
      </c>
      <c r="E126" s="64"/>
      <c r="F126" s="62"/>
      <c r="G126" s="62"/>
      <c r="H126" s="62"/>
      <c r="I126" s="62"/>
      <c r="J126" s="62"/>
      <c r="K126" s="62"/>
      <c r="L126" s="62"/>
      <c r="M126" s="62">
        <v>55</v>
      </c>
      <c r="N126" s="62">
        <f t="shared" si="8"/>
        <v>0</v>
      </c>
      <c r="O126" s="62"/>
      <c r="P126" s="62"/>
      <c r="Q126" s="62"/>
      <c r="R126" s="62"/>
      <c r="S126" s="62"/>
      <c r="T126" s="62"/>
      <c r="U126" s="62"/>
      <c r="V126" s="62"/>
      <c r="W126" s="62"/>
      <c r="X126" s="62"/>
      <c r="Y126" s="62"/>
      <c r="Z126" s="62"/>
      <c r="AA126" s="62"/>
      <c r="AB126" s="62"/>
      <c r="AC126" s="62"/>
      <c r="AD126" s="62"/>
      <c r="AE126" s="62"/>
      <c r="AF126" s="62"/>
      <c r="AG126" s="62"/>
      <c r="AH126" s="62"/>
      <c r="AI126" s="62"/>
      <c r="AJ126" s="62"/>
      <c r="AK126" s="62"/>
      <c r="AL126" s="43"/>
    </row>
    <row r="127" spans="2:38" ht="27.75" hidden="1" customHeight="1">
      <c r="B127" s="68" t="s">
        <v>155</v>
      </c>
      <c r="C127" s="59" t="s">
        <v>83</v>
      </c>
      <c r="D127" s="228">
        <f t="shared" si="7"/>
        <v>7.8</v>
      </c>
      <c r="E127" s="64"/>
      <c r="F127" s="62"/>
      <c r="G127" s="62"/>
      <c r="H127" s="62"/>
      <c r="I127" s="62"/>
      <c r="J127" s="62"/>
      <c r="K127" s="62"/>
      <c r="L127" s="62"/>
      <c r="M127" s="62">
        <v>55</v>
      </c>
      <c r="N127" s="62">
        <f t="shared" si="8"/>
        <v>0</v>
      </c>
      <c r="O127" s="62"/>
      <c r="P127" s="62"/>
      <c r="Q127" s="62"/>
      <c r="R127" s="62"/>
      <c r="S127" s="62"/>
      <c r="T127" s="62"/>
      <c r="U127" s="62"/>
      <c r="V127" s="62"/>
      <c r="W127" s="62"/>
      <c r="X127" s="62"/>
      <c r="Y127" s="62"/>
      <c r="Z127" s="62"/>
      <c r="AA127" s="62"/>
      <c r="AB127" s="62"/>
      <c r="AC127" s="62"/>
      <c r="AD127" s="62"/>
      <c r="AE127" s="62"/>
      <c r="AF127" s="62"/>
      <c r="AG127" s="62"/>
      <c r="AH127" s="62"/>
      <c r="AI127" s="62"/>
      <c r="AJ127" s="62"/>
      <c r="AK127" s="62"/>
      <c r="AL127" s="43"/>
    </row>
    <row r="128" spans="2:38" ht="27.75" hidden="1" customHeight="1">
      <c r="B128" s="58" t="s">
        <v>84</v>
      </c>
      <c r="C128" s="59" t="s">
        <v>156</v>
      </c>
      <c r="D128" s="228">
        <f t="shared" si="7"/>
        <v>0.75018754688672173</v>
      </c>
      <c r="E128" s="64"/>
      <c r="F128" s="62"/>
      <c r="G128" s="62"/>
      <c r="H128" s="62"/>
      <c r="I128" s="62"/>
      <c r="J128" s="62"/>
      <c r="K128" s="62"/>
      <c r="L128" s="62"/>
      <c r="M128" s="62">
        <v>55</v>
      </c>
      <c r="N128" s="62">
        <f t="shared" si="8"/>
        <v>0</v>
      </c>
      <c r="O128" s="62"/>
      <c r="P128" s="62"/>
      <c r="Q128" s="62"/>
      <c r="R128" s="62"/>
      <c r="S128" s="62"/>
      <c r="T128" s="62"/>
      <c r="U128" s="62"/>
      <c r="V128" s="62"/>
      <c r="W128" s="62"/>
      <c r="X128" s="62"/>
      <c r="Y128" s="62"/>
      <c r="Z128" s="62"/>
      <c r="AA128" s="62"/>
      <c r="AB128" s="62"/>
      <c r="AC128" s="62"/>
      <c r="AD128" s="62"/>
      <c r="AE128" s="62"/>
      <c r="AF128" s="62"/>
      <c r="AG128" s="62"/>
      <c r="AH128" s="62"/>
      <c r="AI128" s="62"/>
      <c r="AJ128" s="62"/>
      <c r="AK128" s="62"/>
      <c r="AL128" s="43"/>
    </row>
    <row r="129" spans="2:38" ht="27.75" hidden="1" customHeight="1" thickBot="1">
      <c r="B129" s="69" t="s">
        <v>85</v>
      </c>
      <c r="C129" s="70" t="s">
        <v>157</v>
      </c>
      <c r="D129" s="228">
        <f t="shared" si="7"/>
        <v>1.9</v>
      </c>
      <c r="E129" s="64"/>
      <c r="F129" s="62"/>
      <c r="G129" s="62"/>
      <c r="H129" s="62"/>
      <c r="I129" s="62"/>
      <c r="J129" s="62"/>
      <c r="K129" s="62"/>
      <c r="L129" s="62"/>
      <c r="M129" s="62">
        <v>55</v>
      </c>
      <c r="N129" s="62">
        <f t="shared" si="8"/>
        <v>0</v>
      </c>
      <c r="O129" s="62"/>
      <c r="P129" s="62"/>
      <c r="Q129" s="62"/>
      <c r="R129" s="62"/>
      <c r="S129" s="62"/>
      <c r="T129" s="62"/>
      <c r="U129" s="62"/>
      <c r="V129" s="62"/>
      <c r="W129" s="62"/>
      <c r="X129" s="62"/>
      <c r="Y129" s="62"/>
      <c r="Z129" s="62"/>
      <c r="AA129" s="62"/>
      <c r="AB129" s="62"/>
      <c r="AC129" s="62"/>
      <c r="AD129" s="62"/>
      <c r="AE129" s="62"/>
      <c r="AF129" s="62"/>
      <c r="AG129" s="62"/>
      <c r="AH129" s="62"/>
      <c r="AI129" s="62"/>
      <c r="AJ129" s="62"/>
      <c r="AK129" s="62"/>
      <c r="AL129" s="43"/>
    </row>
    <row r="130" spans="2:38" ht="27.75" hidden="1" customHeight="1">
      <c r="B130" s="64"/>
      <c r="C130" s="65"/>
      <c r="D130" s="64"/>
      <c r="E130" s="64"/>
      <c r="F130" s="62"/>
      <c r="G130" s="62"/>
      <c r="H130" s="62"/>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2"/>
      <c r="AI130" s="62"/>
      <c r="AJ130" s="62"/>
      <c r="AK130" s="62"/>
      <c r="AL130" s="43"/>
    </row>
    <row r="131" spans="2:38" ht="27.75" hidden="1" customHeight="1">
      <c r="B131" s="64"/>
      <c r="C131" s="65"/>
      <c r="D131" s="64"/>
      <c r="E131" s="64"/>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43"/>
    </row>
    <row r="132" spans="2:38" ht="27.75" hidden="1" customHeight="1">
      <c r="B132" s="64"/>
      <c r="C132" s="65"/>
      <c r="D132" s="64"/>
      <c r="E132" s="64"/>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43"/>
    </row>
    <row r="133" spans="2:38" ht="27.75" hidden="1" customHeight="1">
      <c r="B133" s="64" t="s">
        <v>137</v>
      </c>
      <c r="C133" s="65"/>
      <c r="D133" s="64"/>
      <c r="E133" s="64"/>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43"/>
    </row>
    <row r="134" spans="2:38" ht="12.75" customHeight="1">
      <c r="B134" s="43"/>
      <c r="C134" s="44"/>
      <c r="D134" s="43"/>
      <c r="E134" s="43"/>
      <c r="F134" s="45"/>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3"/>
    </row>
    <row r="135" spans="2:38" ht="12.75" customHeight="1"/>
    <row r="136" spans="2:38" ht="12.75" customHeight="1"/>
    <row r="137" spans="2:38" ht="12.75" customHeight="1"/>
    <row r="138" spans="2:38" ht="12.75" customHeight="1"/>
    <row r="139" spans="2:38" ht="12.75" customHeight="1"/>
    <row r="140" spans="2:38" ht="12.75" customHeight="1"/>
    <row r="141" spans="2:38" ht="12.75" customHeight="1"/>
    <row r="142" spans="2:38" ht="12.75" customHeight="1"/>
    <row r="143" spans="2:38" ht="12.75" customHeight="1"/>
    <row r="144" spans="2:38"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sheetData>
  <mergeCells count="57">
    <mergeCell ref="AA4:AJ4"/>
    <mergeCell ref="P4:Y4"/>
    <mergeCell ref="E4:N4"/>
    <mergeCell ref="D81:D83"/>
    <mergeCell ref="D61:D63"/>
    <mergeCell ref="D64:D65"/>
    <mergeCell ref="D66:D67"/>
    <mergeCell ref="C49:D49"/>
    <mergeCell ref="C50:D50"/>
    <mergeCell ref="C48:D48"/>
    <mergeCell ref="B53:AL53"/>
    <mergeCell ref="C35:C36"/>
    <mergeCell ref="C45:D45"/>
    <mergeCell ref="C46:D46"/>
    <mergeCell ref="C47:D47"/>
    <mergeCell ref="C15:C16"/>
    <mergeCell ref="D84:D85"/>
    <mergeCell ref="D93:D94"/>
    <mergeCell ref="D68:D69"/>
    <mergeCell ref="D70:D72"/>
    <mergeCell ref="D73:D75"/>
    <mergeCell ref="D78:D80"/>
    <mergeCell ref="D91:D92"/>
    <mergeCell ref="D76:D77"/>
    <mergeCell ref="D86:D87"/>
    <mergeCell ref="C43:C44"/>
    <mergeCell ref="C17:C18"/>
    <mergeCell ref="C21:C23"/>
    <mergeCell ref="B43:B44"/>
    <mergeCell ref="C19:C20"/>
    <mergeCell ref="C29:C31"/>
    <mergeCell ref="C32:C34"/>
    <mergeCell ref="C40:D40"/>
    <mergeCell ref="B39:D39"/>
    <mergeCell ref="B32:B34"/>
    <mergeCell ref="B35:B36"/>
    <mergeCell ref="C24:C26"/>
    <mergeCell ref="B21:B23"/>
    <mergeCell ref="B41:B42"/>
    <mergeCell ref="C41:C42"/>
    <mergeCell ref="B37:B38"/>
    <mergeCell ref="C37:C38"/>
    <mergeCell ref="B5:D5"/>
    <mergeCell ref="C7:D7"/>
    <mergeCell ref="C8:D8"/>
    <mergeCell ref="B11:D11"/>
    <mergeCell ref="C9:D9"/>
    <mergeCell ref="C10:D10"/>
    <mergeCell ref="C12:C14"/>
    <mergeCell ref="B24:B26"/>
    <mergeCell ref="B29:B31"/>
    <mergeCell ref="B19:B20"/>
    <mergeCell ref="B12:B14"/>
    <mergeCell ref="B17:B18"/>
    <mergeCell ref="B15:B16"/>
    <mergeCell ref="B27:B28"/>
    <mergeCell ref="C27:C28"/>
  </mergeCells>
  <phoneticPr fontId="0" type="noConversion"/>
  <printOptions horizontalCentered="1"/>
  <pageMargins left="0.25" right="0.25" top="0.25" bottom="0.25" header="0.5" footer="0.5"/>
  <pageSetup scale="35"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B1:Q43"/>
  <sheetViews>
    <sheetView showGridLines="0" zoomScaleNormal="100" workbookViewId="0">
      <selection activeCell="F12" sqref="F12"/>
    </sheetView>
  </sheetViews>
  <sheetFormatPr defaultColWidth="8.85546875" defaultRowHeight="12.75"/>
  <cols>
    <col min="1" max="1" width="1.85546875" customWidth="1"/>
    <col min="2" max="2" width="11" customWidth="1"/>
    <col min="3" max="3" width="59.28515625" customWidth="1"/>
    <col min="4" max="4" width="8.85546875" customWidth="1"/>
    <col min="5" max="5" width="7.85546875" customWidth="1"/>
    <col min="6" max="6" width="41.5703125" customWidth="1"/>
    <col min="7" max="7" width="13.42578125" hidden="1" customWidth="1"/>
    <col min="8" max="15" width="13.42578125" style="142" hidden="1" customWidth="1"/>
    <col min="16" max="16" width="13.42578125" customWidth="1"/>
    <col min="17" max="24" width="4.5703125" customWidth="1"/>
    <col min="25" max="53" width="4" customWidth="1"/>
  </cols>
  <sheetData>
    <row r="1" spans="2:17" ht="4.5" customHeight="1">
      <c r="B1" s="28"/>
      <c r="H1" s="248">
        <v>1</v>
      </c>
      <c r="I1" s="243">
        <v>7</v>
      </c>
      <c r="J1" s="255" t="s">
        <v>196</v>
      </c>
      <c r="K1" s="258">
        <v>1</v>
      </c>
      <c r="L1" s="231">
        <f>N1</f>
        <v>3</v>
      </c>
      <c r="M1" s="232"/>
      <c r="N1" s="233">
        <v>3</v>
      </c>
      <c r="O1" s="143"/>
      <c r="P1" s="22"/>
      <c r="Q1" s="22"/>
    </row>
    <row r="2" spans="2:17" ht="18" customHeight="1">
      <c r="H2" s="270" t="s">
        <v>42</v>
      </c>
      <c r="I2" s="244" t="s">
        <v>43</v>
      </c>
      <c r="J2" s="270" t="s">
        <v>335</v>
      </c>
      <c r="K2" s="271" t="s">
        <v>335</v>
      </c>
      <c r="L2" s="234" t="s">
        <v>336</v>
      </c>
      <c r="M2" s="235" t="s">
        <v>88</v>
      </c>
      <c r="N2" s="236"/>
      <c r="O2" s="143"/>
      <c r="P2" s="22"/>
      <c r="Q2" s="22"/>
    </row>
    <row r="3" spans="2:17">
      <c r="H3" s="249" t="s">
        <v>175</v>
      </c>
      <c r="I3" s="245" t="str">
        <f>'DDR4 Spec'!E6</f>
        <v>-107E</v>
      </c>
      <c r="J3" s="256" t="s">
        <v>319</v>
      </c>
      <c r="K3" s="259">
        <v>1</v>
      </c>
      <c r="L3" s="237">
        <v>1</v>
      </c>
      <c r="M3" s="238" t="s">
        <v>91</v>
      </c>
      <c r="N3" s="239">
        <v>4</v>
      </c>
      <c r="O3" s="143"/>
      <c r="P3" s="22"/>
      <c r="Q3" s="22"/>
    </row>
    <row r="4" spans="2:17">
      <c r="H4" s="249" t="s">
        <v>237</v>
      </c>
      <c r="I4" s="246" t="str">
        <f>'DDR4 Spec'!F6</f>
        <v>-093</v>
      </c>
      <c r="J4" s="256" t="s">
        <v>320</v>
      </c>
      <c r="K4" s="259">
        <v>2</v>
      </c>
      <c r="L4" s="237">
        <v>1</v>
      </c>
      <c r="M4" s="238" t="s">
        <v>92</v>
      </c>
      <c r="N4" s="239">
        <v>8</v>
      </c>
      <c r="O4" s="143"/>
      <c r="P4" s="22"/>
      <c r="Q4" s="22"/>
    </row>
    <row r="5" spans="2:17" ht="23.25">
      <c r="B5" s="349" t="s">
        <v>263</v>
      </c>
      <c r="C5" s="350"/>
      <c r="D5" s="350"/>
      <c r="E5" s="350"/>
      <c r="F5" s="35"/>
      <c r="G5" s="35"/>
      <c r="H5" s="250" t="s">
        <v>238</v>
      </c>
      <c r="I5" s="246" t="str">
        <f>'DDR4 Spec'!G6</f>
        <v>-093E</v>
      </c>
      <c r="J5" s="257"/>
      <c r="K5" s="260"/>
      <c r="L5" s="240">
        <v>2</v>
      </c>
      <c r="M5" s="241" t="s">
        <v>90</v>
      </c>
      <c r="N5" s="242">
        <v>16</v>
      </c>
      <c r="O5" s="143"/>
      <c r="P5" s="22"/>
      <c r="Q5" s="22"/>
    </row>
    <row r="6" spans="2:17" ht="23.25" customHeight="1" thickBot="1">
      <c r="B6" s="18"/>
      <c r="C6" s="18"/>
      <c r="D6" s="18"/>
      <c r="E6" s="18"/>
      <c r="H6" s="142" t="s">
        <v>196</v>
      </c>
      <c r="I6" s="245" t="str">
        <f>'DDR4 Spec'!H6</f>
        <v>-083</v>
      </c>
    </row>
    <row r="7" spans="2:17" ht="18.75" customHeight="1">
      <c r="B7" s="18"/>
      <c r="C7" s="84" t="s">
        <v>48</v>
      </c>
      <c r="D7" s="37" t="str">
        <f>INDEX(H3:H5,H1)</f>
        <v>4Gb</v>
      </c>
      <c r="E7" s="7"/>
      <c r="I7" s="245" t="str">
        <f>'DDR4 Spec'!I6</f>
        <v>-083E</v>
      </c>
    </row>
    <row r="8" spans="2:17" ht="18.75" customHeight="1">
      <c r="B8" s="18"/>
      <c r="C8" s="85" t="s">
        <v>371</v>
      </c>
      <c r="D8" s="32">
        <f>INDEX(N3:N5,N1)</f>
        <v>16</v>
      </c>
      <c r="E8" s="8"/>
      <c r="I8" s="246" t="str">
        <f>'DDR4 Spec'!J6</f>
        <v>-075</v>
      </c>
    </row>
    <row r="9" spans="2:17" ht="18.75" customHeight="1">
      <c r="B9" s="18"/>
      <c r="C9" s="85" t="s">
        <v>43</v>
      </c>
      <c r="D9" s="36" t="str">
        <f>INDEX(I3:I12,I1)</f>
        <v>-075E</v>
      </c>
      <c r="E9" s="8"/>
      <c r="I9" s="246" t="str">
        <f>'DDR4 Spec'!K6</f>
        <v>-075E</v>
      </c>
    </row>
    <row r="10" spans="2:17" ht="18.75" customHeight="1" thickBot="1">
      <c r="B10" s="18"/>
      <c r="C10" s="86" t="s">
        <v>321</v>
      </c>
      <c r="D10" s="38">
        <f>INDEX(K3:K5,K1)</f>
        <v>1</v>
      </c>
      <c r="E10" s="26"/>
      <c r="I10" s="246" t="str">
        <f>'DDR4 Spec'!L6</f>
        <v>-068</v>
      </c>
    </row>
    <row r="11" spans="2:17">
      <c r="B11" s="18"/>
      <c r="C11" s="39"/>
      <c r="D11" s="40"/>
      <c r="E11" s="39"/>
      <c r="I11" s="246" t="str">
        <f>'DDR4 Spec'!M6</f>
        <v>-068E</v>
      </c>
    </row>
    <row r="12" spans="2:17">
      <c r="B12" s="18"/>
      <c r="C12" s="2"/>
      <c r="D12" s="2"/>
      <c r="E12" s="2"/>
      <c r="I12" s="247" t="str">
        <f>'DDR4 Spec'!N6</f>
        <v>-062E</v>
      </c>
    </row>
    <row r="13" spans="2:17" ht="13.5" thickBot="1">
      <c r="B13" s="18"/>
      <c r="C13" s="18"/>
      <c r="D13" s="19"/>
      <c r="E13" s="18"/>
      <c r="I13" s="145" t="s">
        <v>196</v>
      </c>
    </row>
    <row r="14" spans="2:17" ht="15.95" customHeight="1">
      <c r="B14" s="87" t="s">
        <v>46</v>
      </c>
      <c r="C14" s="88" t="s">
        <v>47</v>
      </c>
      <c r="D14" s="89" t="s">
        <v>44</v>
      </c>
      <c r="E14" s="90" t="s">
        <v>45</v>
      </c>
      <c r="I14" s="145" t="s">
        <v>196</v>
      </c>
    </row>
    <row r="15" spans="2:17" ht="14.25">
      <c r="B15" s="60"/>
      <c r="C15" s="61" t="s">
        <v>186</v>
      </c>
      <c r="D15" s="91">
        <f>'DDR4 Spec'!D103</f>
        <v>1.26</v>
      </c>
      <c r="E15" s="98" t="s">
        <v>10</v>
      </c>
      <c r="F15" s="1"/>
      <c r="G15" s="1"/>
      <c r="H15" s="144"/>
    </row>
    <row r="16" spans="2:17" ht="14.25">
      <c r="B16" s="60"/>
      <c r="C16" s="61" t="s">
        <v>187</v>
      </c>
      <c r="D16" s="91">
        <f>'DDR4 Spec'!D104</f>
        <v>1.1399999999999999</v>
      </c>
      <c r="E16" s="98" t="s">
        <v>10</v>
      </c>
      <c r="F16" s="1"/>
      <c r="G16" s="1"/>
      <c r="H16" s="144"/>
    </row>
    <row r="17" spans="2:12" ht="14.25">
      <c r="B17" s="60"/>
      <c r="C17" s="61" t="s">
        <v>268</v>
      </c>
      <c r="D17" s="91">
        <f>'DDR4 Spec'!D105</f>
        <v>2.75</v>
      </c>
      <c r="E17" s="98" t="s">
        <v>10</v>
      </c>
      <c r="F17" s="1"/>
      <c r="G17" s="1"/>
      <c r="H17" s="144"/>
    </row>
    <row r="18" spans="2:12" ht="14.25">
      <c r="B18" s="60"/>
      <c r="C18" s="61" t="s">
        <v>267</v>
      </c>
      <c r="D18" s="91">
        <f>'DDR4 Spec'!D106</f>
        <v>2.375</v>
      </c>
      <c r="E18" s="98" t="s">
        <v>10</v>
      </c>
      <c r="F18" s="1"/>
      <c r="G18" s="1"/>
      <c r="H18" s="144"/>
    </row>
    <row r="19" spans="2:12" ht="14.25">
      <c r="B19" s="60"/>
      <c r="C19" s="61"/>
      <c r="D19" s="91"/>
      <c r="E19" s="98"/>
      <c r="F19" s="1"/>
      <c r="G19" s="1"/>
      <c r="H19" s="144"/>
    </row>
    <row r="20" spans="2:12" ht="14.25">
      <c r="B20" s="60"/>
      <c r="C20" s="61" t="s">
        <v>138</v>
      </c>
      <c r="D20" s="92">
        <f>INDEX(L3:L5,L1)</f>
        <v>2</v>
      </c>
      <c r="E20" s="98"/>
      <c r="F20" s="1"/>
      <c r="G20" s="1"/>
      <c r="H20" s="144"/>
    </row>
    <row r="21" spans="2:12" ht="14.25">
      <c r="B21" s="60"/>
      <c r="C21" s="61" t="s">
        <v>139</v>
      </c>
      <c r="D21" s="93">
        <f>INDEX(L3:L5,L1)</f>
        <v>2</v>
      </c>
      <c r="E21" s="98"/>
      <c r="F21" s="1"/>
      <c r="G21" s="1"/>
      <c r="H21" s="144"/>
      <c r="L21" s="145" t="s">
        <v>196</v>
      </c>
    </row>
    <row r="22" spans="2:12" ht="14.25">
      <c r="B22" s="60"/>
      <c r="C22" s="61"/>
      <c r="D22" s="91"/>
      <c r="E22" s="98"/>
      <c r="F22" s="1"/>
      <c r="G22" s="1"/>
      <c r="H22" s="144"/>
    </row>
    <row r="23" spans="2:12" ht="14.25">
      <c r="B23" s="60" t="s">
        <v>177</v>
      </c>
      <c r="C23" s="61" t="s">
        <v>294</v>
      </c>
      <c r="D23" s="91">
        <f>'DDR4 Spec'!D108</f>
        <v>70</v>
      </c>
      <c r="E23" s="98" t="s">
        <v>11</v>
      </c>
    </row>
    <row r="24" spans="2:12" ht="14.25">
      <c r="B24" s="60" t="s">
        <v>244</v>
      </c>
      <c r="C24" s="61" t="s">
        <v>295</v>
      </c>
      <c r="D24" s="91">
        <f>'DDR4 Spec'!D109</f>
        <v>3.6</v>
      </c>
      <c r="E24" s="98" t="s">
        <v>11</v>
      </c>
    </row>
    <row r="25" spans="2:12" ht="14.25">
      <c r="B25" s="60" t="s">
        <v>188</v>
      </c>
      <c r="C25" s="61" t="s">
        <v>128</v>
      </c>
      <c r="D25" s="91">
        <f>'DDR4 Spec'!D110</f>
        <v>34</v>
      </c>
      <c r="E25" s="98" t="s">
        <v>11</v>
      </c>
    </row>
    <row r="26" spans="2:12" ht="14.25">
      <c r="B26" s="60" t="s">
        <v>178</v>
      </c>
      <c r="C26" s="61" t="s">
        <v>129</v>
      </c>
      <c r="D26" s="91">
        <f>'DDR4 Spec'!D111</f>
        <v>50</v>
      </c>
      <c r="E26" s="98" t="s">
        <v>11</v>
      </c>
    </row>
    <row r="27" spans="2:12" ht="14.25">
      <c r="B27" s="60" t="s">
        <v>179</v>
      </c>
      <c r="C27" s="61" t="s">
        <v>130</v>
      </c>
      <c r="D27" s="91">
        <f>'DDR4 Spec'!D113</f>
        <v>40</v>
      </c>
      <c r="E27" s="98" t="s">
        <v>11</v>
      </c>
      <c r="F27" s="27"/>
      <c r="G27" s="27"/>
    </row>
    <row r="28" spans="2:12" ht="14.25">
      <c r="B28" s="60" t="s">
        <v>180</v>
      </c>
      <c r="C28" s="61" t="s">
        <v>131</v>
      </c>
      <c r="D28" s="91">
        <f>'DDR4 Spec'!D114</f>
        <v>65</v>
      </c>
      <c r="E28" s="98" t="s">
        <v>11</v>
      </c>
    </row>
    <row r="29" spans="2:12" ht="14.25">
      <c r="B29" s="60" t="s">
        <v>269</v>
      </c>
      <c r="C29" s="61" t="s">
        <v>317</v>
      </c>
      <c r="D29" s="91">
        <f>'DDR4 Spec'!D115</f>
        <v>3</v>
      </c>
      <c r="E29" s="98" t="s">
        <v>11</v>
      </c>
    </row>
    <row r="30" spans="2:12" ht="14.25">
      <c r="B30" s="60" t="s">
        <v>181</v>
      </c>
      <c r="C30" s="61" t="s">
        <v>132</v>
      </c>
      <c r="D30" s="91">
        <f>'DDR4 Spec'!D116</f>
        <v>225</v>
      </c>
      <c r="E30" s="98" t="s">
        <v>11</v>
      </c>
    </row>
    <row r="31" spans="2:12" ht="14.25">
      <c r="B31" s="60" t="s">
        <v>182</v>
      </c>
      <c r="C31" s="61" t="s">
        <v>133</v>
      </c>
      <c r="D31" s="91">
        <f>'DDR4 Spec'!D117</f>
        <v>310</v>
      </c>
      <c r="E31" s="98" t="s">
        <v>11</v>
      </c>
    </row>
    <row r="32" spans="2:12" ht="14.25">
      <c r="B32" s="60" t="s">
        <v>315</v>
      </c>
      <c r="C32" s="61" t="s">
        <v>134</v>
      </c>
      <c r="D32" s="91">
        <f>'DDR4 Spec'!D118</f>
        <v>175</v>
      </c>
      <c r="E32" s="98" t="s">
        <v>11</v>
      </c>
    </row>
    <row r="33" spans="2:5" ht="14.25">
      <c r="B33" s="60" t="s">
        <v>316</v>
      </c>
      <c r="C33" s="61" t="s">
        <v>318</v>
      </c>
      <c r="D33" s="91">
        <f>'DDR4 Spec'!D119</f>
        <v>25</v>
      </c>
      <c r="E33" s="98" t="s">
        <v>11</v>
      </c>
    </row>
    <row r="34" spans="2:5" ht="14.25">
      <c r="B34" s="60"/>
      <c r="C34" s="61"/>
      <c r="D34" s="93"/>
      <c r="E34" s="98"/>
    </row>
    <row r="35" spans="2:5" ht="16.5">
      <c r="B35" s="60" t="s">
        <v>254</v>
      </c>
      <c r="C35" s="83" t="s">
        <v>161</v>
      </c>
      <c r="D35" s="254">
        <f>'DDR4 Spec'!D121</f>
        <v>0.75018754688672173</v>
      </c>
      <c r="E35" s="98" t="s">
        <v>31</v>
      </c>
    </row>
    <row r="36" spans="2:5" ht="16.5">
      <c r="B36" s="94" t="s">
        <v>260</v>
      </c>
      <c r="C36" s="61" t="s">
        <v>258</v>
      </c>
      <c r="D36" s="91">
        <f>'DDR4 Spec'!D122</f>
        <v>5.3</v>
      </c>
      <c r="E36" s="98" t="s">
        <v>31</v>
      </c>
    </row>
    <row r="37" spans="2:5" ht="16.5">
      <c r="B37" s="94" t="s">
        <v>249</v>
      </c>
      <c r="C37" s="61" t="s">
        <v>259</v>
      </c>
      <c r="D37" s="91">
        <f>'DDR4 Spec'!D123</f>
        <v>6.4</v>
      </c>
      <c r="E37" s="98" t="s">
        <v>31</v>
      </c>
    </row>
    <row r="38" spans="2:5" ht="16.5">
      <c r="B38" s="94" t="s">
        <v>162</v>
      </c>
      <c r="C38" s="61" t="s">
        <v>135</v>
      </c>
      <c r="D38" s="91">
        <f>'DDR4 Spec'!D124</f>
        <v>45.5</v>
      </c>
      <c r="E38" s="98" t="s">
        <v>31</v>
      </c>
    </row>
    <row r="39" spans="2:5" ht="16.5">
      <c r="B39" s="94" t="s">
        <v>163</v>
      </c>
      <c r="C39" s="83" t="s">
        <v>190</v>
      </c>
      <c r="D39" s="91">
        <f>'DDR4 Spec'!D125</f>
        <v>32</v>
      </c>
      <c r="E39" s="98" t="s">
        <v>31</v>
      </c>
    </row>
    <row r="40" spans="2:5" ht="16.5">
      <c r="B40" s="94" t="s">
        <v>165</v>
      </c>
      <c r="C40" s="61" t="s">
        <v>136</v>
      </c>
      <c r="D40" s="91">
        <f>'DDR4 Spec'!D126</f>
        <v>260</v>
      </c>
      <c r="E40" s="98" t="s">
        <v>31</v>
      </c>
    </row>
    <row r="41" spans="2:5" ht="16.5">
      <c r="B41" s="94" t="s">
        <v>166</v>
      </c>
      <c r="C41" s="61" t="s">
        <v>83</v>
      </c>
      <c r="D41" s="91">
        <f>'DDR4 Spec'!D127</f>
        <v>7.8</v>
      </c>
      <c r="E41" s="98" t="s">
        <v>172</v>
      </c>
    </row>
    <row r="42" spans="2:5" ht="16.5">
      <c r="B42" s="94" t="s">
        <v>183</v>
      </c>
      <c r="C42" s="61" t="s">
        <v>168</v>
      </c>
      <c r="D42" s="254">
        <f>'DDR4 Spec'!D128</f>
        <v>0.75018754688672173</v>
      </c>
      <c r="E42" s="98" t="s">
        <v>31</v>
      </c>
    </row>
    <row r="43" spans="2:5" ht="17.25" thickBot="1">
      <c r="B43" s="95" t="s">
        <v>189</v>
      </c>
      <c r="C43" s="96" t="s">
        <v>170</v>
      </c>
      <c r="D43" s="97">
        <f>'DDR4 Spec'!D129</f>
        <v>1.9</v>
      </c>
      <c r="E43" s="99" t="s">
        <v>31</v>
      </c>
    </row>
  </sheetData>
  <sheetProtection selectLockedCells="1" selectUnlockedCells="1"/>
  <protectedRanges>
    <protectedRange sqref="D15:D43" name="Range1"/>
  </protectedRanges>
  <mergeCells count="1">
    <mergeCell ref="B5:E5"/>
  </mergeCells>
  <phoneticPr fontId="0" type="noConversion"/>
  <printOptions horizontalCentered="1"/>
  <pageMargins left="0.25" right="0.25" top="0.25" bottom="0.25" header="0.5" footer="0.5"/>
  <pageSetup scale="9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2" r:id="rId4" name="Drop Down 6">
              <controlPr defaultSize="0" autoFill="0" autoLine="0" autoPict="0">
                <anchor moveWithCells="1">
                  <from>
                    <xdr:col>2</xdr:col>
                    <xdr:colOff>3943350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4993" r:id="rId5" name="Drop Down 897">
              <controlPr defaultSize="0" autoFill="0" autoLine="0" autoPict="0">
                <anchor moveWithCells="1">
                  <from>
                    <xdr:col>2</xdr:col>
                    <xdr:colOff>3943350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4994" r:id="rId6" name="Drop Down 898">
              <controlPr defaultSize="0" autoFill="0" autoLine="0" autoPict="0">
                <anchor moveWithCells="1">
                  <from>
                    <xdr:col>2</xdr:col>
                    <xdr:colOff>3943350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4996" r:id="rId7" name="Drop Down 900">
              <controlPr defaultSize="0" autoFill="0" autoLine="0" autoPict="0">
                <anchor moveWithCells="1">
                  <from>
                    <xdr:col>2</xdr:col>
                    <xdr:colOff>3943350</xdr:colOff>
                    <xdr:row>9</xdr:row>
                    <xdr:rowOff>0</xdr:rowOff>
                  </from>
                  <to>
                    <xdr:col>5</xdr:col>
                    <xdr:colOff>0</xdr:colOff>
                    <xdr:row>9</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B1:AU53"/>
  <sheetViews>
    <sheetView showGridLines="0" topLeftCell="A7" zoomScaleNormal="100" workbookViewId="0">
      <selection activeCell="B18" sqref="B18"/>
    </sheetView>
  </sheetViews>
  <sheetFormatPr defaultRowHeight="12.75"/>
  <cols>
    <col min="1" max="1" width="1.7109375" style="148" customWidth="1"/>
    <col min="2" max="2" width="15.42578125" style="209" customWidth="1"/>
    <col min="3" max="3" width="46.140625" style="148" customWidth="1"/>
    <col min="4" max="4" width="19.42578125" style="148" bestFit="1" customWidth="1"/>
    <col min="5" max="5" width="5.85546875" style="210" customWidth="1"/>
    <col min="6" max="6" width="40.28515625" style="148" customWidth="1"/>
    <col min="7" max="7" width="0.85546875" style="211" customWidth="1"/>
    <col min="8" max="8" width="4.140625" style="148" customWidth="1"/>
    <col min="9" max="9" width="10.140625" style="148" customWidth="1"/>
    <col min="10" max="10" width="7" style="148" customWidth="1"/>
    <col min="11" max="11" width="9.7109375" style="148" customWidth="1"/>
    <col min="12" max="12" width="10.140625" style="148" customWidth="1"/>
    <col min="13" max="13" width="9.7109375" style="148" customWidth="1"/>
    <col min="14" max="14" width="10.140625" style="148" customWidth="1"/>
    <col min="15" max="15" width="5.28515625" style="148" customWidth="1"/>
    <col min="16" max="16" width="4.85546875" style="148" customWidth="1"/>
    <col min="17" max="17" width="10.140625" style="148" customWidth="1"/>
    <col min="18" max="18" width="7" style="148" customWidth="1"/>
    <col min="19" max="19" width="10.85546875" style="148" customWidth="1"/>
    <col min="20" max="20" width="10.140625" style="148" customWidth="1"/>
    <col min="21" max="21" width="11.42578125" style="148" customWidth="1"/>
    <col min="22" max="22" width="10.140625" style="148" customWidth="1"/>
    <col min="23" max="23" width="4.85546875" style="148" customWidth="1"/>
    <col min="24" max="24" width="7.5703125" style="148" hidden="1" customWidth="1"/>
    <col min="25" max="26" width="11" style="148" hidden="1" customWidth="1"/>
    <col min="27" max="27" width="3.5703125" style="148" hidden="1" customWidth="1"/>
    <col min="28" max="29" width="11" style="148" hidden="1" customWidth="1"/>
    <col min="30" max="30" width="4" style="148" hidden="1" customWidth="1"/>
    <col min="31" max="38" width="11" style="148" hidden="1" customWidth="1"/>
    <col min="39" max="41" width="1.85546875" style="148" customWidth="1"/>
    <col min="42" max="42" width="8.7109375" style="148" hidden="1" customWidth="1"/>
    <col min="43" max="46" width="8.7109375" style="210" hidden="1" customWidth="1"/>
    <col min="47" max="47" width="8.7109375" style="148" hidden="1" customWidth="1"/>
    <col min="48" max="48" width="8.7109375" style="148" customWidth="1"/>
    <col min="49" max="16384" width="9.140625" style="148"/>
  </cols>
  <sheetData>
    <row r="1" spans="2:46">
      <c r="C1" s="29"/>
      <c r="AQ1" s="230">
        <v>1</v>
      </c>
      <c r="AR1" s="230">
        <v>2</v>
      </c>
      <c r="AS1" s="230">
        <v>2</v>
      </c>
      <c r="AT1" s="230">
        <v>3</v>
      </c>
    </row>
    <row r="2" spans="2:46">
      <c r="Q2" s="148" t="s">
        <v>196</v>
      </c>
      <c r="AQ2" s="230" t="s">
        <v>334</v>
      </c>
      <c r="AR2" s="230" t="s">
        <v>337</v>
      </c>
      <c r="AS2" s="230" t="s">
        <v>333</v>
      </c>
      <c r="AT2" s="230" t="s">
        <v>338</v>
      </c>
    </row>
    <row r="3" spans="2:46" ht="13.5" thickBot="1">
      <c r="AQ3" s="129">
        <v>34</v>
      </c>
      <c r="AR3" s="230">
        <v>34</v>
      </c>
      <c r="AS3" s="230">
        <v>80</v>
      </c>
      <c r="AT3" s="230">
        <v>34</v>
      </c>
    </row>
    <row r="4" spans="2:46" s="154" customFormat="1" ht="21.75" customHeight="1" thickBot="1">
      <c r="B4" s="153"/>
      <c r="E4" s="155"/>
      <c r="G4" s="156"/>
      <c r="H4" s="355" t="s">
        <v>219</v>
      </c>
      <c r="I4" s="356"/>
      <c r="J4" s="356"/>
      <c r="K4" s="356"/>
      <c r="L4" s="356"/>
      <c r="M4" s="356"/>
      <c r="N4" s="356"/>
      <c r="O4" s="357"/>
      <c r="P4" s="355" t="s">
        <v>220</v>
      </c>
      <c r="Q4" s="358"/>
      <c r="R4" s="358"/>
      <c r="S4" s="358"/>
      <c r="T4" s="358"/>
      <c r="U4" s="358"/>
      <c r="V4" s="358"/>
      <c r="W4" s="359"/>
      <c r="AQ4" s="129">
        <v>48</v>
      </c>
      <c r="AR4" s="230">
        <v>40</v>
      </c>
      <c r="AS4" s="230">
        <v>120</v>
      </c>
      <c r="AT4" s="230">
        <v>40</v>
      </c>
    </row>
    <row r="5" spans="2:46" ht="23.25">
      <c r="B5" s="136"/>
      <c r="C5" s="137" t="s">
        <v>16</v>
      </c>
      <c r="D5" s="138"/>
      <c r="E5" s="138"/>
      <c r="F5" s="138"/>
      <c r="H5" s="212"/>
      <c r="I5" s="213"/>
      <c r="J5" s="213"/>
      <c r="K5" s="213"/>
      <c r="L5" s="213"/>
      <c r="M5" s="213"/>
      <c r="N5" s="213"/>
      <c r="O5" s="214"/>
      <c r="P5" s="212"/>
      <c r="Q5" s="150"/>
      <c r="R5" s="150"/>
      <c r="S5" s="150"/>
      <c r="T5" s="150"/>
      <c r="U5" s="150"/>
      <c r="V5" s="150"/>
      <c r="W5" s="215"/>
      <c r="AQ5" s="230" t="s">
        <v>196</v>
      </c>
      <c r="AR5" s="230">
        <v>48</v>
      </c>
      <c r="AS5" s="230">
        <v>240</v>
      </c>
      <c r="AT5" s="230">
        <v>48</v>
      </c>
    </row>
    <row r="6" spans="2:46" ht="12.6" customHeight="1" thickBot="1">
      <c r="B6" s="136"/>
      <c r="C6" s="137"/>
      <c r="D6" s="138"/>
      <c r="E6" s="138"/>
      <c r="F6" s="138"/>
      <c r="G6" s="148"/>
      <c r="H6" s="216"/>
      <c r="I6" s="150"/>
      <c r="J6" s="150"/>
      <c r="K6" s="150"/>
      <c r="L6" s="150"/>
      <c r="M6" s="150"/>
      <c r="N6" s="150"/>
      <c r="O6" s="215"/>
      <c r="P6" s="216"/>
      <c r="Q6" s="150"/>
      <c r="R6" s="150"/>
      <c r="S6" s="150"/>
      <c r="T6" s="150"/>
      <c r="U6" s="150"/>
      <c r="V6" s="150"/>
      <c r="W6" s="215"/>
      <c r="AQ6" s="230" t="s">
        <v>196</v>
      </c>
      <c r="AR6" s="230">
        <v>60</v>
      </c>
      <c r="AS6" s="230" t="s">
        <v>196</v>
      </c>
      <c r="AT6" s="230">
        <v>60</v>
      </c>
    </row>
    <row r="7" spans="2:46" ht="15.75" thickBot="1">
      <c r="C7" s="100" t="s">
        <v>192</v>
      </c>
      <c r="D7" s="273">
        <v>1.2</v>
      </c>
      <c r="E7" s="101" t="s">
        <v>10</v>
      </c>
      <c r="F7" s="102" t="str">
        <f>IF(D7&lt;'DDR4 Config'!D16,"ERROR, VCC too Low",IF(D7&gt;'DDR4 Config'!D15,"ERROR, VCC too High",""))</f>
        <v/>
      </c>
      <c r="G7" s="148"/>
      <c r="H7" s="216"/>
      <c r="I7" s="150"/>
      <c r="J7" s="150"/>
      <c r="K7" s="150"/>
      <c r="L7" s="150"/>
      <c r="M7" s="150"/>
      <c r="N7" s="150"/>
      <c r="O7" s="215"/>
      <c r="P7" s="216"/>
      <c r="Q7" s="150"/>
      <c r="R7" s="150"/>
      <c r="S7" s="150"/>
      <c r="T7" s="150"/>
      <c r="U7" s="150"/>
      <c r="V7" s="150"/>
      <c r="W7" s="215"/>
      <c r="AQ7" s="230" t="s">
        <v>196</v>
      </c>
      <c r="AR7" s="230">
        <v>80</v>
      </c>
      <c r="AS7" s="230" t="s">
        <v>196</v>
      </c>
      <c r="AT7" s="230">
        <v>80</v>
      </c>
    </row>
    <row r="8" spans="2:46" ht="15">
      <c r="C8" s="100" t="s">
        <v>272</v>
      </c>
      <c r="D8" s="273">
        <v>2.5</v>
      </c>
      <c r="E8" s="101" t="s">
        <v>10</v>
      </c>
      <c r="F8" s="102" t="str">
        <f>IF(D8&lt;'DDR4 Config'!D18,"ERROR, VPP too Low",IF(D8&gt;'DDR4 Config'!D17,"ERROR, VPP too High",""))</f>
        <v/>
      </c>
      <c r="G8" s="148"/>
      <c r="H8" s="216"/>
      <c r="I8" s="150"/>
      <c r="J8" s="150"/>
      <c r="K8" s="150"/>
      <c r="L8" s="150"/>
      <c r="M8" s="150"/>
      <c r="N8" s="150"/>
      <c r="O8" s="215"/>
      <c r="P8" s="216"/>
      <c r="Q8" s="150"/>
      <c r="R8" s="150"/>
      <c r="S8" s="150"/>
      <c r="T8" s="150"/>
      <c r="U8" s="150"/>
      <c r="V8" s="150"/>
      <c r="W8" s="215"/>
      <c r="AQ8" s="230" t="s">
        <v>196</v>
      </c>
      <c r="AR8" s="230">
        <v>120</v>
      </c>
      <c r="AS8" s="230" t="s">
        <v>196</v>
      </c>
      <c r="AT8" s="230">
        <v>120</v>
      </c>
    </row>
    <row r="9" spans="2:46" ht="15">
      <c r="C9" s="104" t="s">
        <v>264</v>
      </c>
      <c r="D9" s="78">
        <v>800</v>
      </c>
      <c r="E9" s="105" t="s">
        <v>9</v>
      </c>
      <c r="F9" s="106" t="str">
        <f>IF(D9+1&lt;1000/'DDR4 Config'!D43,"ERROR, lower of operaitonal frequency range",IF(D9 &gt; 1000 /'DDR4 Config'!D42,"ERROR, higher of operaitonal frequency range",""))</f>
        <v/>
      </c>
      <c r="G9" s="148"/>
      <c r="H9" s="216"/>
      <c r="I9" s="150"/>
      <c r="J9" s="150"/>
      <c r="K9" s="150"/>
      <c r="L9" s="150"/>
      <c r="M9" s="150"/>
      <c r="N9" s="150"/>
      <c r="O9" s="215"/>
      <c r="P9" s="216"/>
      <c r="Q9" s="150"/>
      <c r="R9" s="150"/>
      <c r="S9" s="150"/>
      <c r="T9" s="150"/>
      <c r="U9" s="150"/>
      <c r="V9" s="150"/>
      <c r="W9" s="215"/>
      <c r="AQ9" s="230" t="s">
        <v>196</v>
      </c>
      <c r="AR9" s="230">
        <v>240</v>
      </c>
      <c r="AS9" s="230" t="s">
        <v>196</v>
      </c>
      <c r="AT9" s="230">
        <v>240</v>
      </c>
    </row>
    <row r="10" spans="2:46" ht="15">
      <c r="C10" s="104" t="s">
        <v>140</v>
      </c>
      <c r="D10" s="78">
        <v>8</v>
      </c>
      <c r="E10" s="105"/>
      <c r="F10" s="107" t="s">
        <v>275</v>
      </c>
      <c r="G10" s="148"/>
      <c r="H10" s="216"/>
      <c r="I10" s="150"/>
      <c r="J10" s="150"/>
      <c r="K10" s="150"/>
      <c r="L10" s="150"/>
      <c r="M10" s="150"/>
      <c r="N10" s="150"/>
      <c r="O10" s="215"/>
      <c r="P10" s="216"/>
      <c r="Q10" s="150"/>
      <c r="R10" s="150"/>
      <c r="S10" s="150"/>
      <c r="T10" s="150"/>
      <c r="U10" s="150"/>
      <c r="V10" s="150"/>
      <c r="W10" s="215"/>
      <c r="AQ10" s="269" t="s">
        <v>196</v>
      </c>
      <c r="AR10" s="269">
        <v>0</v>
      </c>
      <c r="AT10" s="269">
        <v>0</v>
      </c>
    </row>
    <row r="11" spans="2:46" ht="15.75" thickBot="1">
      <c r="C11" s="104"/>
      <c r="D11" s="81"/>
      <c r="E11" s="105"/>
      <c r="F11" s="107"/>
      <c r="G11" s="148"/>
      <c r="H11" s="216"/>
      <c r="I11" s="150"/>
      <c r="J11" s="150"/>
      <c r="K11" s="150"/>
      <c r="L11" s="150"/>
      <c r="M11" s="150"/>
      <c r="N11" s="150"/>
      <c r="O11" s="215"/>
      <c r="P11" s="216"/>
      <c r="Q11" s="150"/>
      <c r="R11" s="150"/>
      <c r="S11" s="150"/>
      <c r="T11" s="150"/>
      <c r="U11" s="150"/>
      <c r="V11" s="150"/>
      <c r="W11" s="215"/>
    </row>
    <row r="12" spans="2:46" ht="30" customHeight="1">
      <c r="B12" s="116" t="s">
        <v>77</v>
      </c>
      <c r="C12" s="108" t="s">
        <v>276</v>
      </c>
      <c r="D12" s="274">
        <f>IF(L19= "na",0, L19) +IF(L20= "na",0, L20)</f>
        <v>10.07704567267476</v>
      </c>
      <c r="E12" s="105" t="s">
        <v>8</v>
      </c>
      <c r="F12" s="360" t="s">
        <v>341</v>
      </c>
      <c r="G12" s="148"/>
      <c r="H12" s="216"/>
      <c r="I12" s="150"/>
      <c r="J12" s="150"/>
      <c r="K12" s="150"/>
      <c r="L12" s="150"/>
      <c r="M12" s="150"/>
      <c r="N12" s="150"/>
      <c r="O12" s="215"/>
      <c r="P12" s="216"/>
      <c r="Q12" s="150"/>
      <c r="R12" s="150"/>
      <c r="S12" s="150"/>
      <c r="T12" s="150"/>
      <c r="U12" s="150"/>
      <c r="V12" s="150"/>
      <c r="W12" s="215"/>
    </row>
    <row r="13" spans="2:46" ht="30" customHeight="1" thickBot="1">
      <c r="B13" s="117" t="s">
        <v>78</v>
      </c>
      <c r="C13" s="108" t="s">
        <v>277</v>
      </c>
      <c r="D13" s="274">
        <f>IF(T19= "na",0, T19) +IF(T20= "na",0, T20)</f>
        <v>3.2444037892428406</v>
      </c>
      <c r="E13" s="105" t="s">
        <v>8</v>
      </c>
      <c r="F13" s="361"/>
      <c r="G13" s="103"/>
      <c r="H13" s="216"/>
      <c r="I13" s="158" t="s">
        <v>370</v>
      </c>
      <c r="J13" s="150"/>
      <c r="K13" s="150"/>
      <c r="L13" s="150"/>
      <c r="M13" s="150"/>
      <c r="N13" s="272" t="s">
        <v>339</v>
      </c>
      <c r="O13" s="215"/>
      <c r="P13" s="216"/>
      <c r="Q13" s="158" t="s">
        <v>370</v>
      </c>
      <c r="R13" s="150"/>
      <c r="S13" s="150"/>
      <c r="T13" s="150"/>
      <c r="U13" s="150"/>
      <c r="V13" s="272" t="s">
        <v>339</v>
      </c>
      <c r="W13" s="215"/>
    </row>
    <row r="14" spans="2:46" ht="30" customHeight="1" thickBot="1">
      <c r="B14" s="117" t="s">
        <v>80</v>
      </c>
      <c r="C14" s="108" t="s">
        <v>298</v>
      </c>
      <c r="D14" s="274">
        <f>IF( N14 = 0, 0,N19+  N20)</f>
        <v>5.7057823877994842</v>
      </c>
      <c r="E14" s="105" t="s">
        <v>8</v>
      </c>
      <c r="F14" s="360" t="s">
        <v>218</v>
      </c>
      <c r="G14" s="103"/>
      <c r="H14" s="216"/>
      <c r="I14" s="286" t="s">
        <v>201</v>
      </c>
      <c r="J14" s="289">
        <v>120</v>
      </c>
      <c r="K14" s="286" t="s">
        <v>342</v>
      </c>
      <c r="L14" s="282">
        <f>INDEX(AQ3:AQ4,AQ1)</f>
        <v>34</v>
      </c>
      <c r="M14" s="291" t="s">
        <v>202</v>
      </c>
      <c r="N14" s="281">
        <f>INDEX(AR3:AR11,AR1)</f>
        <v>40</v>
      </c>
      <c r="O14" s="215"/>
      <c r="P14" s="216" t="s">
        <v>196</v>
      </c>
      <c r="Q14" s="286" t="s">
        <v>203</v>
      </c>
      <c r="R14" s="289">
        <v>34</v>
      </c>
      <c r="S14" s="286" t="s">
        <v>344</v>
      </c>
      <c r="T14" s="282">
        <f>INDEX(AS3:AS5,AS1)</f>
        <v>120</v>
      </c>
      <c r="U14" s="285" t="s">
        <v>346</v>
      </c>
      <c r="V14" s="282">
        <f>INDEX(AT3:AT11,AT1)</f>
        <v>48</v>
      </c>
      <c r="W14" s="215"/>
      <c r="Y14" s="217" t="s">
        <v>211</v>
      </c>
      <c r="Z14" s="218">
        <f>1*R18/R14</f>
        <v>16.192937123169685</v>
      </c>
      <c r="AA14" s="217"/>
      <c r="AB14" s="217" t="s">
        <v>213</v>
      </c>
      <c r="AC14" s="218">
        <f>1000*((R16-0.001*T18)/T14)</f>
        <v>4.9956933677863899</v>
      </c>
      <c r="AD14" s="217"/>
      <c r="AE14" s="217" t="s">
        <v>213</v>
      </c>
      <c r="AF14" s="218">
        <f>1000*((R16-0.001*V18)/V14)</f>
        <v>11.197243755383287</v>
      </c>
      <c r="AG14" s="219"/>
      <c r="AH14" s="219"/>
      <c r="AI14" s="219"/>
      <c r="AJ14" s="219"/>
      <c r="AK14" s="219"/>
      <c r="AL14" s="219"/>
    </row>
    <row r="15" spans="2:46" ht="30" customHeight="1" thickBot="1">
      <c r="B15" s="117" t="s">
        <v>79</v>
      </c>
      <c r="C15" s="108" t="s">
        <v>299</v>
      </c>
      <c r="D15" s="274">
        <f>IF( V14 = 0, 0,V19+  V20)</f>
        <v>7.271939527613263</v>
      </c>
      <c r="E15" s="105" t="s">
        <v>8</v>
      </c>
      <c r="F15" s="361"/>
      <c r="G15" s="103"/>
      <c r="H15" s="216"/>
      <c r="I15" s="295"/>
      <c r="J15" s="296"/>
      <c r="K15" s="286" t="s">
        <v>343</v>
      </c>
      <c r="L15" s="290">
        <v>10</v>
      </c>
      <c r="M15" s="286" t="s">
        <v>208</v>
      </c>
      <c r="N15" s="289">
        <v>10</v>
      </c>
      <c r="O15" s="215"/>
      <c r="P15" s="216"/>
      <c r="Q15" s="295"/>
      <c r="R15" s="296"/>
      <c r="S15" s="288" t="s">
        <v>343</v>
      </c>
      <c r="T15" s="283">
        <f>L15</f>
        <v>10</v>
      </c>
      <c r="U15" s="287" t="s">
        <v>345</v>
      </c>
      <c r="V15" s="284">
        <f>N15</f>
        <v>10</v>
      </c>
      <c r="W15" s="215"/>
      <c r="Y15" s="219"/>
      <c r="Z15" s="219"/>
      <c r="AA15" s="219"/>
      <c r="AB15" s="217" t="s">
        <v>212</v>
      </c>
      <c r="AC15" s="218">
        <f>1*T18/T15</f>
        <v>60.051679586563317</v>
      </c>
      <c r="AD15" s="217"/>
      <c r="AE15" s="217" t="s">
        <v>212</v>
      </c>
      <c r="AF15" s="218">
        <f>1*V18/V15</f>
        <v>66.25322997416022</v>
      </c>
      <c r="AG15" s="219"/>
      <c r="AH15" s="219"/>
      <c r="AI15" s="219"/>
      <c r="AJ15" s="219"/>
      <c r="AK15" s="219"/>
      <c r="AL15" s="219"/>
    </row>
    <row r="16" spans="2:46" ht="18" customHeight="1">
      <c r="B16" s="117"/>
      <c r="C16" s="108"/>
      <c r="D16" s="275"/>
      <c r="E16" s="105"/>
      <c r="F16" s="110"/>
      <c r="G16" s="103"/>
      <c r="H16" s="216"/>
      <c r="I16" s="293" t="s">
        <v>205</v>
      </c>
      <c r="J16" s="294">
        <v>1.2</v>
      </c>
      <c r="K16" s="150"/>
      <c r="L16" s="149"/>
      <c r="M16" s="149"/>
      <c r="N16" s="149"/>
      <c r="O16" s="215"/>
      <c r="P16" s="216"/>
      <c r="Q16" s="293" t="s">
        <v>205</v>
      </c>
      <c r="R16" s="294">
        <f>J16</f>
        <v>1.2</v>
      </c>
      <c r="S16" s="149"/>
      <c r="T16" s="149"/>
      <c r="U16" s="149"/>
      <c r="V16" s="149"/>
      <c r="W16" s="215"/>
      <c r="Y16" s="219"/>
      <c r="Z16" s="219"/>
      <c r="AA16" s="219"/>
      <c r="AB16" s="217" t="s">
        <v>214</v>
      </c>
      <c r="AC16" s="218" t="e">
        <f>1*(T18-R18)/T16</f>
        <v>#DIV/0!</v>
      </c>
      <c r="AD16" s="217"/>
      <c r="AE16" s="217" t="s">
        <v>214</v>
      </c>
      <c r="AF16" s="218" t="e">
        <f>1*(V18-R18)/V16</f>
        <v>#DIV/0!</v>
      </c>
      <c r="AG16" s="219"/>
      <c r="AH16" s="219"/>
      <c r="AI16" s="219"/>
      <c r="AJ16" s="219"/>
      <c r="AK16" s="219"/>
      <c r="AL16" s="219"/>
    </row>
    <row r="17" spans="2:46" ht="28.5">
      <c r="B17" s="117" t="s">
        <v>76</v>
      </c>
      <c r="C17" s="108" t="s">
        <v>141</v>
      </c>
      <c r="D17" s="276">
        <v>0.3</v>
      </c>
      <c r="E17" s="105"/>
      <c r="F17" s="110" t="str">
        <f>IF(SUM(D23+D24+D26+D27)*8/D10&gt;1,"Data Bus utilization is too high","")</f>
        <v/>
      </c>
      <c r="G17" s="103"/>
      <c r="H17" s="216"/>
      <c r="I17" s="158" t="s">
        <v>369</v>
      </c>
      <c r="J17" s="150"/>
      <c r="K17" s="150"/>
      <c r="L17" s="150"/>
      <c r="M17" s="150"/>
      <c r="N17" s="150"/>
      <c r="O17" s="215"/>
      <c r="P17" s="216"/>
      <c r="Q17" s="158" t="s">
        <v>369</v>
      </c>
      <c r="R17" s="150"/>
      <c r="S17" s="150"/>
      <c r="T17" s="220"/>
      <c r="U17" s="150"/>
      <c r="V17" s="220"/>
      <c r="W17" s="215"/>
      <c r="X17" s="150"/>
      <c r="Y17" s="219"/>
      <c r="Z17" s="219"/>
      <c r="AA17" s="219"/>
      <c r="AB17" s="219"/>
      <c r="AC17" s="219"/>
      <c r="AD17" s="219"/>
      <c r="AE17" s="219"/>
      <c r="AF17" s="219"/>
      <c r="AG17" s="219"/>
      <c r="AH17" s="219"/>
      <c r="AI17" s="219"/>
      <c r="AJ17" s="219"/>
      <c r="AK17" s="219"/>
      <c r="AL17" s="219"/>
    </row>
    <row r="18" spans="2:46" ht="28.5">
      <c r="B18" s="117" t="s">
        <v>123</v>
      </c>
      <c r="C18" s="108" t="s">
        <v>2</v>
      </c>
      <c r="D18" s="276">
        <v>0.15</v>
      </c>
      <c r="E18" s="105"/>
      <c r="F18" s="109"/>
      <c r="G18" s="103"/>
      <c r="H18" s="216"/>
      <c r="I18" s="151" t="s">
        <v>215</v>
      </c>
      <c r="J18" s="266">
        <f>IF(N14&gt;0,  IF(L14&gt;0,   IF(J14&gt;0,   1000*    (J16 *(L14+L15) )/(L14+L15+((N14+N15)* J14)/(N14+N15+ J14)),"RTTC&lt;1"),"Rz1&lt;1"),                                                                                                                                                              IF(L14&gt;0,   IF(J14&gt;0,   1000*    (J16 *(L14+L15) )/(L14+L15+J14),"RTTC&lt;1"),"Rz1&lt;1"))</f>
        <v>665.87537091988133</v>
      </c>
      <c r="K18" s="151" t="s">
        <v>216</v>
      </c>
      <c r="L18" s="266">
        <f xml:space="preserve">  IF(N14&gt;0,     IF(J14&gt;0,     IF(L14&gt;0,   1000*    (J16 *L14 )/(L14+L15+((N14+N15)* J14)/(N14+N15+ J14)),"RZ&lt;1"), J14/J14),  IF(J14&gt;0,           IF(L14&gt;0,   1000*    (J16 *L14 )/(L14+L15+J14),"RZ&lt;1"), J14/J14))</f>
        <v>514.540059347181</v>
      </c>
      <c r="M18" s="151" t="s">
        <v>217</v>
      </c>
      <c r="N18" s="266">
        <f xml:space="preserve"> IF(L14&gt;0,             IF(N14&gt;0,  1000* (J18*0.001+ (J16-J18*0.001)*N15/(N14+N15)),0), "RZ&lt;1")</f>
        <v>772.70029673590511</v>
      </c>
      <c r="O18" s="215"/>
      <c r="P18" s="216"/>
      <c r="Q18" s="151" t="s">
        <v>215</v>
      </c>
      <c r="R18" s="266">
        <f xml:space="preserve">  IF(T14&gt;0,               IF(V14&gt;0, IF(R14&gt;0,1000*R16*R14/(R14+(T14+T15)*(V14+V15)/(T14+T15+V14+V15)),"RZc&lt;1"),  IF(R14&gt;0,1000*R16*R14/(R14+T14+T15), "RZc&lt;1" ) ),    " Rtt1&lt;1")</f>
        <v>550.55986218776923</v>
      </c>
      <c r="S18" s="151" t="s">
        <v>216</v>
      </c>
      <c r="T18" s="266">
        <f>IF(T14&gt;0,   R18+(1000*R16-R18)*T15/(T14+T15),"Rtt1&lt;1")</f>
        <v>600.51679586563318</v>
      </c>
      <c r="U18" s="151" t="s">
        <v>217</v>
      </c>
      <c r="V18" s="266">
        <f xml:space="preserve"> IF(T14&gt;0,        IF(V14&gt;0,   R18+(1000*R16-R18)*V15/(V14+V15),0),"Rtt1&lt;1")</f>
        <v>662.53229974160217</v>
      </c>
      <c r="W18" s="215"/>
      <c r="X18" s="150"/>
      <c r="Y18" s="219"/>
      <c r="Z18" s="219"/>
      <c r="AA18" s="219"/>
      <c r="AB18" s="219"/>
      <c r="AC18" s="219"/>
      <c r="AD18" s="219"/>
      <c r="AE18" s="219"/>
      <c r="AF18" s="219"/>
      <c r="AG18" s="219"/>
      <c r="AH18" s="219"/>
      <c r="AI18" s="219"/>
      <c r="AJ18" s="219"/>
      <c r="AK18" s="219"/>
      <c r="AL18" s="219"/>
    </row>
    <row r="19" spans="2:46" ht="28.5">
      <c r="B19" s="117" t="s">
        <v>124</v>
      </c>
      <c r="C19" s="108" t="s">
        <v>4</v>
      </c>
      <c r="D19" s="276">
        <v>0.15</v>
      </c>
      <c r="E19" s="105"/>
      <c r="F19" s="106" t="str">
        <f>IF(1-D19&lt;D23+D24,"ERROR, CKE HI must be greater than READ and WRITE output cycles","")</f>
        <v/>
      </c>
      <c r="G19" s="103"/>
      <c r="H19" s="216"/>
      <c r="I19" s="151" t="s">
        <v>324</v>
      </c>
      <c r="J19" s="152">
        <f xml:space="preserve"> IF(L14&gt;0,            IF(J14&gt;0, 0.001*(1000*J16 - J18)*(1000*J16 - J18)/J14,"RTTC&lt;1"), "RZ1&lt;1")</f>
        <v>2.3774093282497861</v>
      </c>
      <c r="K19" s="151" t="s">
        <v>204</v>
      </c>
      <c r="L19" s="152">
        <f xml:space="preserve"> IF(N14&gt;0,       IF(J14&gt;0,     IF(L14&gt;0,   1000*  (  (J16 *L14 )/(L14+L15+((N14+N15)* J14)/(N14+N15+ J14))   )* (  (J16 *L14 )/(L14+L15+((N14+N15)* J14)/(N14+N15+ J14)))/ L14,"RZ&lt;1"), J14/J14),   IF(J14&gt;0,     IF(L14&gt;0,   1000*  ((J16 *L14 )/(L14+L15+ J14)   *      (J16 *L14 )/(L14+L15+ J14)  / L14),"RZ&lt;1"), J14/J14))</f>
        <v>7.7868080197941332</v>
      </c>
      <c r="M19" s="151" t="s">
        <v>210</v>
      </c>
      <c r="N19" s="152">
        <f xml:space="preserve"> IF(L14&gt;0,              IF(N14&gt;0,  1000*                 ((J16-J18*0.001)*N14/(N14+N15))    *  ((J16-J18*0.001)*N14/(N14+N15))/N14,0), "RZ&lt;1")</f>
        <v>4.5646259102395872</v>
      </c>
      <c r="O19" s="215"/>
      <c r="P19" s="216"/>
      <c r="Q19" s="151" t="s">
        <v>325</v>
      </c>
      <c r="R19" s="152">
        <f xml:space="preserve">  IF(T14&gt;0,       IF(R14&gt;0,         0.001*  (R18/(R14)) * (R18/(R14))    *R14, "RZc&lt;1"), "Rtt1&lt;1")</f>
        <v>8.9151812309475158</v>
      </c>
      <c r="S19" s="151" t="s">
        <v>326</v>
      </c>
      <c r="T19" s="152">
        <f>IF(T14&gt;0,1000*((R16-0.001*T18 )*(R16-0.001*T18)/T14),"Rtt1&lt;1")</f>
        <v>2.9948342669933901</v>
      </c>
      <c r="U19" s="151" t="s">
        <v>327</v>
      </c>
      <c r="V19" s="152">
        <f>IF(T14&gt;0,IF(V14&gt;0,1000*((R16-0.001*V18 )*(R16-0.001*V18)/V14),0),"Rtt1&lt;1")</f>
        <v>6.0181568504385599</v>
      </c>
      <c r="W19" s="215"/>
      <c r="X19" s="150"/>
      <c r="Y19" s="219"/>
      <c r="Z19" s="219"/>
      <c r="AA19" s="219"/>
      <c r="AB19" s="219"/>
      <c r="AC19" s="219"/>
      <c r="AD19" s="219"/>
      <c r="AE19" s="219"/>
      <c r="AF19" s="219"/>
      <c r="AG19" s="219"/>
      <c r="AH19" s="219"/>
      <c r="AI19" s="219"/>
      <c r="AJ19" s="219"/>
      <c r="AK19" s="219"/>
      <c r="AL19" s="219"/>
    </row>
    <row r="20" spans="2:46" ht="25.5">
      <c r="B20" s="117"/>
      <c r="C20" s="108"/>
      <c r="D20" s="277"/>
      <c r="E20" s="105"/>
      <c r="F20" s="106"/>
      <c r="G20" s="103"/>
      <c r="H20" s="216"/>
      <c r="I20" s="150"/>
      <c r="J20" s="150"/>
      <c r="K20" s="151" t="s">
        <v>206</v>
      </c>
      <c r="L20" s="152">
        <f>IF(L14&gt;0,IF(L15&gt;0,1000*(J18*0.001/(L14+L15))*(J18*0.001/(L14+L15))*L15,0),"Rz&lt;1")</f>
        <v>2.2902376528806281</v>
      </c>
      <c r="M20" s="151" t="s">
        <v>207</v>
      </c>
      <c r="N20" s="152">
        <f xml:space="preserve"> IF(L14&gt;0,            IF(N14&gt;0, IF(N15&gt;0, 1000*    ((J16-J18*0.001)*N15/(N14+N15))    *  ((J16-J18*0.001)*N15/(N14+N15))/N15,0),"NoRTT2"), "RZ&lt;1")</f>
        <v>1.1411564775598968</v>
      </c>
      <c r="O20" s="215"/>
      <c r="P20" s="216"/>
      <c r="Q20" s="150"/>
      <c r="R20" s="150"/>
      <c r="S20" s="151" t="s">
        <v>209</v>
      </c>
      <c r="T20" s="152">
        <f xml:space="preserve">  IF(T14&gt;0,IF(T15&gt;0,1000*((0.001*T18-0.001*R18)*(0.001*T18-0.001*R18)/T15),0), "Rtt1&lt;1")</f>
        <v>0.24956952224945045</v>
      </c>
      <c r="U20" s="151" t="s">
        <v>328</v>
      </c>
      <c r="V20" s="152">
        <f>IF(T14&gt;0,IF(V14&gt;0,IF(V15&gt;0,1000*((0.001*V18-0.001*R18)*(0.001*V18-0.001*R18)/V15),0),"NoRTT2"),"Rtt1&lt;1")</f>
        <v>1.2537826771747034</v>
      </c>
      <c r="W20" s="215"/>
      <c r="X20" s="150"/>
      <c r="Y20" s="219"/>
      <c r="Z20" s="219"/>
      <c r="AA20" s="219"/>
      <c r="AB20" s="219"/>
      <c r="AC20" s="219"/>
      <c r="AD20" s="219"/>
      <c r="AE20" s="219"/>
      <c r="AF20" s="219"/>
      <c r="AG20" s="219"/>
      <c r="AH20" s="219"/>
      <c r="AI20" s="219"/>
      <c r="AJ20" s="219"/>
      <c r="AK20" s="219"/>
      <c r="AL20" s="219"/>
    </row>
    <row r="21" spans="2:46" ht="15">
      <c r="B21" s="117" t="s">
        <v>120</v>
      </c>
      <c r="C21" s="108" t="s">
        <v>142</v>
      </c>
      <c r="D21" s="276">
        <v>0.8</v>
      </c>
      <c r="E21" s="105"/>
      <c r="F21" s="106"/>
      <c r="G21" s="103"/>
      <c r="H21" s="216"/>
      <c r="I21" s="150"/>
      <c r="J21" s="150"/>
      <c r="K21" s="150"/>
      <c r="L21" s="150"/>
      <c r="M21" s="150"/>
      <c r="N21" s="150"/>
      <c r="O21" s="215"/>
      <c r="P21" s="216"/>
      <c r="Q21" s="150"/>
      <c r="R21" s="150"/>
      <c r="S21" s="150"/>
      <c r="T21" s="150"/>
      <c r="U21" s="150"/>
      <c r="V21" s="150"/>
      <c r="W21" s="215"/>
      <c r="X21" s="150"/>
      <c r="Y21" s="219"/>
      <c r="Z21" s="219"/>
      <c r="AA21" s="219"/>
      <c r="AB21" s="219"/>
      <c r="AC21" s="219"/>
      <c r="AD21" s="219"/>
      <c r="AE21" s="219"/>
      <c r="AF21" s="219"/>
      <c r="AG21" s="219"/>
      <c r="AH21" s="219"/>
      <c r="AI21" s="219"/>
      <c r="AJ21" s="219"/>
      <c r="AK21" s="219"/>
      <c r="AL21" s="219"/>
    </row>
    <row r="22" spans="2:46" ht="15.75" thickBot="1">
      <c r="B22" s="117"/>
      <c r="C22" s="108"/>
      <c r="D22" s="277"/>
      <c r="E22" s="105"/>
      <c r="F22" s="106"/>
      <c r="G22" s="103"/>
      <c r="H22" s="221"/>
      <c r="I22" s="222"/>
      <c r="J22" s="222"/>
      <c r="K22" s="222"/>
      <c r="L22" s="222"/>
      <c r="M22" s="222"/>
      <c r="N22" s="222"/>
      <c r="O22" s="223"/>
      <c r="P22" s="221"/>
      <c r="Q22" s="222"/>
      <c r="R22" s="222"/>
      <c r="S22" s="222"/>
      <c r="T22" s="222"/>
      <c r="U22" s="222"/>
      <c r="V22" s="222"/>
      <c r="W22" s="223"/>
      <c r="X22" s="150"/>
      <c r="Y22" s="219"/>
      <c r="Z22" s="219"/>
      <c r="AA22" s="219"/>
      <c r="AB22" s="219"/>
      <c r="AC22" s="219"/>
      <c r="AD22" s="219"/>
      <c r="AE22" s="219"/>
      <c r="AF22" s="219"/>
      <c r="AG22" s="219"/>
      <c r="AH22" s="219"/>
      <c r="AI22" s="219"/>
      <c r="AJ22" s="219"/>
      <c r="AK22" s="219"/>
      <c r="AL22" s="219"/>
    </row>
    <row r="23" spans="2:46" ht="29.25" customHeight="1">
      <c r="B23" s="117" t="s">
        <v>118</v>
      </c>
      <c r="C23" s="108" t="s">
        <v>143</v>
      </c>
      <c r="D23" s="276">
        <v>0.3</v>
      </c>
      <c r="E23" s="105"/>
      <c r="F23" s="106" t="str">
        <f>IF(SUM(D23+D24+D26+D27)*8/D10&gt;1,"Data Bus utilization is too high","")</f>
        <v/>
      </c>
      <c r="G23" s="103"/>
      <c r="H23" s="362" t="s">
        <v>347</v>
      </c>
      <c r="I23" s="363"/>
      <c r="J23" s="364"/>
      <c r="K23" s="364"/>
      <c r="L23" s="364"/>
      <c r="M23" s="364"/>
      <c r="N23" s="364"/>
      <c r="O23" s="364"/>
      <c r="P23" s="364"/>
      <c r="Q23" s="364"/>
      <c r="R23" s="364"/>
      <c r="S23" s="364"/>
      <c r="T23" s="364"/>
      <c r="U23" s="364"/>
      <c r="V23" s="364"/>
      <c r="W23" s="365"/>
      <c r="X23" s="150"/>
      <c r="Y23" s="219"/>
      <c r="Z23" s="219"/>
      <c r="AA23" s="219"/>
      <c r="AB23" s="219"/>
      <c r="AC23" s="219"/>
      <c r="AD23" s="219"/>
      <c r="AE23" s="219"/>
      <c r="AF23" s="219"/>
      <c r="AG23" s="219"/>
      <c r="AH23" s="219"/>
      <c r="AI23" s="219"/>
      <c r="AJ23" s="219"/>
      <c r="AK23" s="219"/>
      <c r="AL23" s="219"/>
    </row>
    <row r="24" spans="2:46" ht="29.25" thickBot="1">
      <c r="B24" s="117" t="s">
        <v>119</v>
      </c>
      <c r="C24" s="108" t="s">
        <v>144</v>
      </c>
      <c r="D24" s="276">
        <v>0.5</v>
      </c>
      <c r="E24" s="105"/>
      <c r="F24" s="110" t="str">
        <f>IF(SUM(D23+D24+D26+D27)*8/D10&gt;1,"Data Bus utilization is too high","")</f>
        <v/>
      </c>
      <c r="G24" s="103"/>
      <c r="H24" s="366" t="s">
        <v>332</v>
      </c>
      <c r="I24" s="367"/>
      <c r="J24" s="367"/>
      <c r="K24" s="367"/>
      <c r="L24" s="367"/>
      <c r="M24" s="367"/>
      <c r="N24" s="367"/>
      <c r="O24" s="367"/>
      <c r="P24" s="367"/>
      <c r="Q24" s="367"/>
      <c r="R24" s="367"/>
      <c r="S24" s="367"/>
      <c r="T24" s="367"/>
      <c r="U24" s="367"/>
      <c r="V24" s="367"/>
      <c r="W24" s="368"/>
      <c r="X24" s="150"/>
      <c r="Y24" s="219"/>
      <c r="Z24" s="219"/>
      <c r="AA24" s="219"/>
      <c r="AB24" s="219"/>
      <c r="AC24" s="219"/>
      <c r="AD24" s="219"/>
      <c r="AE24" s="219"/>
      <c r="AF24" s="219"/>
      <c r="AG24" s="219"/>
      <c r="AH24" s="219"/>
      <c r="AI24" s="219"/>
      <c r="AJ24" s="219"/>
      <c r="AK24" s="219"/>
      <c r="AL24" s="219"/>
    </row>
    <row r="25" spans="2:46" ht="15">
      <c r="B25" s="117"/>
      <c r="C25" s="111"/>
      <c r="D25" s="278">
        <f>D23/(D24+D23)</f>
        <v>0.37499999999999994</v>
      </c>
      <c r="E25" s="105"/>
      <c r="F25" s="110" t="s">
        <v>221</v>
      </c>
      <c r="G25" s="103"/>
      <c r="H25" s="150"/>
      <c r="I25" s="150"/>
      <c r="J25" s="150"/>
      <c r="K25" s="150"/>
      <c r="L25" s="150"/>
      <c r="M25" s="150"/>
      <c r="N25" s="150"/>
      <c r="O25" s="150"/>
      <c r="P25" s="150"/>
      <c r="Q25" s="150"/>
      <c r="R25" s="150"/>
      <c r="S25" s="150"/>
      <c r="T25" s="150"/>
      <c r="X25" s="150"/>
      <c r="Y25" s="219"/>
      <c r="Z25" s="219"/>
      <c r="AA25" s="219"/>
      <c r="AB25" s="219"/>
      <c r="AC25" s="219"/>
      <c r="AD25" s="219"/>
      <c r="AE25" s="219"/>
      <c r="AF25" s="219"/>
      <c r="AG25" s="219"/>
      <c r="AH25" s="219"/>
      <c r="AI25" s="219"/>
      <c r="AJ25" s="219"/>
      <c r="AK25" s="219"/>
      <c r="AL25" s="219"/>
    </row>
    <row r="26" spans="2:46" ht="28.5">
      <c r="B26" s="117" t="s">
        <v>121</v>
      </c>
      <c r="C26" s="108" t="s">
        <v>278</v>
      </c>
      <c r="D26" s="276">
        <v>0</v>
      </c>
      <c r="E26" s="105"/>
      <c r="F26" s="106" t="str">
        <f>IF(SUM(D23+D24+D26+D27)*8/D10&gt;1,"Data Bus utilization is too high","")</f>
        <v/>
      </c>
      <c r="G26" s="103"/>
      <c r="I26" s="150"/>
      <c r="J26" s="150"/>
      <c r="K26" s="150"/>
      <c r="L26" s="150"/>
      <c r="M26" s="150"/>
      <c r="N26" s="150"/>
      <c r="O26" s="150"/>
      <c r="P26" s="150"/>
      <c r="Q26" s="150"/>
      <c r="R26" s="150"/>
      <c r="S26" s="150"/>
      <c r="T26" s="150"/>
      <c r="X26" s="150"/>
      <c r="Y26" s="219"/>
      <c r="Z26" s="219"/>
      <c r="AA26" s="219"/>
      <c r="AB26" s="219"/>
      <c r="AC26" s="219"/>
      <c r="AD26" s="219"/>
      <c r="AE26" s="219"/>
      <c r="AF26" s="219"/>
      <c r="AG26" s="219"/>
      <c r="AH26" s="219"/>
      <c r="AI26" s="219"/>
      <c r="AJ26" s="219"/>
      <c r="AK26" s="219"/>
      <c r="AL26" s="219"/>
      <c r="AO26" s="148" t="s">
        <v>196</v>
      </c>
    </row>
    <row r="27" spans="2:46" ht="28.5">
      <c r="B27" s="117" t="s">
        <v>122</v>
      </c>
      <c r="C27" s="108" t="s">
        <v>279</v>
      </c>
      <c r="D27" s="276">
        <v>0</v>
      </c>
      <c r="E27" s="105"/>
      <c r="F27" s="106" t="str">
        <f>IF(SUM(D23+D24+D26+D27)*8/D10&gt;1,"Data Bus utilization is too high","")</f>
        <v/>
      </c>
      <c r="G27" s="103"/>
      <c r="I27" s="150"/>
      <c r="J27" s="150"/>
      <c r="K27" s="150"/>
      <c r="L27" s="150"/>
      <c r="M27" s="150"/>
      <c r="N27" s="150"/>
      <c r="O27" s="150"/>
      <c r="P27" s="150"/>
      <c r="Q27" s="150"/>
      <c r="R27" s="150"/>
      <c r="S27" s="150"/>
      <c r="T27" s="150"/>
      <c r="X27" s="150"/>
      <c r="Y27" s="219"/>
      <c r="Z27" s="219"/>
      <c r="AA27" s="219"/>
      <c r="AB27" s="219"/>
      <c r="AC27" s="219"/>
      <c r="AD27" s="219"/>
      <c r="AE27" s="219"/>
      <c r="AF27" s="219"/>
      <c r="AG27" s="219"/>
      <c r="AH27" s="219"/>
      <c r="AI27" s="219"/>
      <c r="AJ27" s="219"/>
      <c r="AK27" s="219"/>
      <c r="AL27" s="219"/>
    </row>
    <row r="28" spans="2:46" ht="14.25">
      <c r="B28" s="117"/>
      <c r="C28" s="280" t="s">
        <v>280</v>
      </c>
      <c r="D28" s="279"/>
      <c r="E28" s="105"/>
      <c r="F28" s="110"/>
      <c r="G28" s="103"/>
      <c r="H28" s="150"/>
      <c r="I28" s="150"/>
      <c r="J28" s="150"/>
      <c r="K28" s="150"/>
      <c r="L28" s="150"/>
      <c r="M28" s="150"/>
      <c r="N28" s="150"/>
      <c r="O28" s="150"/>
      <c r="P28" s="150"/>
      <c r="Q28" s="150"/>
      <c r="R28" s="150"/>
      <c r="S28" s="150"/>
      <c r="T28" s="150"/>
      <c r="X28" s="150"/>
      <c r="Y28" s="219"/>
      <c r="Z28" s="219"/>
      <c r="AA28" s="219"/>
      <c r="AB28" s="219"/>
      <c r="AC28" s="219"/>
      <c r="AD28" s="219"/>
      <c r="AE28" s="219"/>
      <c r="AF28" s="219"/>
      <c r="AG28" s="219"/>
      <c r="AH28" s="219"/>
      <c r="AI28" s="219"/>
      <c r="AJ28" s="219"/>
      <c r="AK28" s="219"/>
      <c r="AL28" s="219"/>
    </row>
    <row r="29" spans="2:46" ht="43.5" thickBot="1">
      <c r="B29" s="122" t="s">
        <v>173</v>
      </c>
      <c r="C29" s="112" t="s">
        <v>70</v>
      </c>
      <c r="D29" s="274">
        <f>INT(D41*10000/D9)/10</f>
        <v>31.2</v>
      </c>
      <c r="E29" s="113" t="s">
        <v>31</v>
      </c>
      <c r="F29" s="106" t="str">
        <f>IF(D$29&lt;'DDR4 Config'!D$37,"ERROR, Must be greater the tRRD","")</f>
        <v/>
      </c>
      <c r="G29" s="103" t="s">
        <v>196</v>
      </c>
      <c r="H29" s="150"/>
      <c r="I29" s="150"/>
      <c r="J29" s="150"/>
      <c r="K29" s="150"/>
      <c r="L29" s="150"/>
      <c r="M29" s="150"/>
      <c r="N29" s="150"/>
      <c r="O29" s="150"/>
      <c r="P29" s="150"/>
      <c r="Q29" s="150"/>
      <c r="R29" s="150"/>
      <c r="S29" s="150"/>
      <c r="T29" s="150"/>
      <c r="X29" s="150"/>
      <c r="Y29" s="219"/>
      <c r="Z29" s="219"/>
      <c r="AA29" s="219"/>
      <c r="AB29" s="219"/>
      <c r="AC29" s="219"/>
      <c r="AD29" s="219"/>
      <c r="AE29" s="219"/>
      <c r="AF29" s="219"/>
      <c r="AG29" s="219"/>
      <c r="AH29" s="219"/>
      <c r="AI29" s="219"/>
      <c r="AJ29" s="219"/>
      <c r="AK29" s="219"/>
      <c r="AL29" s="219"/>
      <c r="AO29" s="267"/>
      <c r="AP29" s="267"/>
      <c r="AQ29" s="268"/>
      <c r="AR29" s="268"/>
      <c r="AS29" s="268"/>
      <c r="AT29" s="268"/>
    </row>
    <row r="30" spans="2:46" ht="43.5" customHeight="1" thickBot="1">
      <c r="C30" s="351" t="s">
        <v>340</v>
      </c>
      <c r="D30" s="352"/>
      <c r="E30" s="114"/>
      <c r="F30" s="147" t="s">
        <v>222</v>
      </c>
      <c r="G30" s="115"/>
      <c r="H30" s="150"/>
      <c r="I30" s="150"/>
      <c r="J30" s="150"/>
      <c r="K30" s="150"/>
      <c r="L30" s="150"/>
      <c r="M30" s="150"/>
      <c r="N30" s="150"/>
      <c r="O30" s="150"/>
      <c r="P30" s="150"/>
      <c r="Q30" s="150"/>
      <c r="R30" s="150"/>
      <c r="S30" s="150"/>
      <c r="T30" s="150"/>
      <c r="X30" s="150"/>
      <c r="Y30" s="219"/>
      <c r="Z30" s="219"/>
      <c r="AA30" s="219"/>
      <c r="AB30" s="219"/>
      <c r="AC30" s="219"/>
      <c r="AD30" s="219"/>
      <c r="AE30" s="219"/>
      <c r="AF30" s="219"/>
      <c r="AG30" s="219"/>
      <c r="AH30" s="219"/>
      <c r="AI30" s="219"/>
      <c r="AJ30" s="219"/>
      <c r="AK30" s="219"/>
      <c r="AL30" s="219"/>
      <c r="AO30" s="267"/>
      <c r="AP30" s="267"/>
      <c r="AQ30" s="268"/>
      <c r="AR30" s="268"/>
      <c r="AS30" s="268"/>
      <c r="AT30" s="268"/>
    </row>
    <row r="31" spans="2:46" ht="13.5" hidden="1" customHeight="1" thickBot="1">
      <c r="H31" s="150"/>
      <c r="I31" s="150"/>
      <c r="J31" s="150"/>
      <c r="K31" s="150"/>
      <c r="L31" s="150"/>
      <c r="M31" s="150"/>
      <c r="N31" s="150"/>
      <c r="O31" s="150"/>
      <c r="P31" s="150"/>
      <c r="Q31" s="150"/>
      <c r="R31" s="150"/>
      <c r="S31" s="150"/>
      <c r="T31" s="150"/>
      <c r="X31" s="150"/>
      <c r="Y31" s="219"/>
      <c r="Z31" s="219"/>
      <c r="AA31" s="219"/>
      <c r="AB31" s="219"/>
      <c r="AC31" s="219"/>
      <c r="AD31" s="219"/>
      <c r="AE31" s="219"/>
      <c r="AF31" s="219"/>
      <c r="AG31" s="219"/>
      <c r="AH31" s="219"/>
      <c r="AI31" s="219"/>
      <c r="AJ31" s="219"/>
      <c r="AK31" s="219"/>
      <c r="AL31" s="219"/>
      <c r="AO31" s="267"/>
      <c r="AP31" s="267"/>
      <c r="AQ31" s="268"/>
      <c r="AR31" s="268"/>
      <c r="AS31" s="268"/>
      <c r="AT31" s="268"/>
    </row>
    <row r="32" spans="2:46" ht="24" hidden="1" customHeight="1">
      <c r="H32" s="150"/>
      <c r="I32" s="150"/>
      <c r="J32" s="150" t="s">
        <v>196</v>
      </c>
      <c r="K32" s="150"/>
      <c r="L32" s="150" t="s">
        <v>196</v>
      </c>
      <c r="M32" s="150"/>
      <c r="N32" s="150"/>
      <c r="O32" s="150"/>
      <c r="P32" s="150"/>
      <c r="Q32" s="150"/>
      <c r="R32" s="150"/>
      <c r="S32" s="150"/>
      <c r="T32" s="150"/>
      <c r="X32" s="150"/>
      <c r="Y32" s="219"/>
      <c r="Z32" s="219"/>
      <c r="AA32" s="219"/>
      <c r="AB32" s="219"/>
      <c r="AC32" s="219"/>
      <c r="AD32" s="219"/>
      <c r="AE32" s="219"/>
      <c r="AF32" s="219"/>
      <c r="AG32" s="219"/>
      <c r="AH32" s="219"/>
      <c r="AI32" s="219"/>
      <c r="AJ32" s="219"/>
      <c r="AK32" s="219"/>
      <c r="AL32" s="219"/>
      <c r="AO32" s="267"/>
      <c r="AP32" s="267"/>
      <c r="AQ32" s="268"/>
      <c r="AR32" s="268"/>
      <c r="AS32" s="268"/>
      <c r="AT32" s="268"/>
    </row>
    <row r="33" spans="3:46" ht="26.25" hidden="1" customHeight="1">
      <c r="H33" s="150"/>
      <c r="J33" s="148" t="s">
        <v>196</v>
      </c>
      <c r="X33" s="150"/>
      <c r="Y33" s="219"/>
      <c r="Z33" s="219"/>
      <c r="AA33" s="219"/>
      <c r="AB33" s="219"/>
      <c r="AC33" s="219"/>
      <c r="AD33" s="219"/>
      <c r="AE33" s="219"/>
      <c r="AF33" s="219"/>
      <c r="AG33" s="219"/>
      <c r="AH33" s="219"/>
      <c r="AI33" s="219"/>
      <c r="AJ33" s="219"/>
      <c r="AK33" s="219"/>
      <c r="AL33" s="219"/>
      <c r="AO33" s="267"/>
      <c r="AP33" s="267"/>
      <c r="AQ33" s="268"/>
      <c r="AR33" s="268"/>
      <c r="AS33" s="268"/>
      <c r="AT33" s="268"/>
    </row>
    <row r="34" spans="3:46" ht="13.5" hidden="1" thickBot="1">
      <c r="C34" s="30"/>
      <c r="D34" s="30"/>
      <c r="E34" s="31"/>
      <c r="F34" s="30"/>
      <c r="H34" s="150"/>
      <c r="X34" s="150"/>
      <c r="Y34" s="219"/>
      <c r="Z34" s="219"/>
      <c r="AA34" s="219"/>
      <c r="AB34" s="219"/>
      <c r="AC34" s="219"/>
      <c r="AD34" s="219"/>
      <c r="AE34" s="219"/>
      <c r="AF34" s="219"/>
      <c r="AG34" s="219"/>
      <c r="AH34" s="219"/>
      <c r="AI34" s="219"/>
      <c r="AJ34" s="219"/>
      <c r="AK34" s="219"/>
      <c r="AL34" s="219"/>
      <c r="AO34" s="267"/>
      <c r="AP34" s="267"/>
      <c r="AQ34" s="268"/>
      <c r="AR34" s="268"/>
      <c r="AS34" s="268"/>
      <c r="AT34" s="268"/>
    </row>
    <row r="35" spans="3:46" ht="13.5" hidden="1" thickBot="1">
      <c r="C35" s="30"/>
      <c r="D35" s="30"/>
      <c r="E35" s="31"/>
      <c r="F35" s="30"/>
      <c r="H35" s="150"/>
      <c r="X35" s="150"/>
      <c r="Y35" s="219"/>
      <c r="Z35" s="219"/>
      <c r="AA35" s="219"/>
      <c r="AB35" s="219"/>
      <c r="AC35" s="219"/>
      <c r="AD35" s="219"/>
      <c r="AE35" s="219"/>
      <c r="AF35" s="219"/>
      <c r="AG35" s="219"/>
      <c r="AH35" s="219"/>
      <c r="AI35" s="219"/>
      <c r="AJ35" s="219"/>
      <c r="AK35" s="219"/>
      <c r="AL35" s="219"/>
      <c r="AO35" s="267"/>
      <c r="AP35" s="267"/>
      <c r="AQ35" s="268"/>
      <c r="AR35" s="268"/>
      <c r="AS35" s="268"/>
      <c r="AT35" s="268"/>
    </row>
    <row r="36" spans="3:46" ht="40.5" customHeight="1" thickBot="1">
      <c r="C36" s="353" t="s">
        <v>332</v>
      </c>
      <c r="D36" s="354"/>
      <c r="E36" s="31"/>
      <c r="F36" s="30"/>
      <c r="H36" s="150"/>
      <c r="AG36" s="150"/>
      <c r="AH36" s="150"/>
      <c r="AI36" s="150"/>
      <c r="AJ36" s="150"/>
      <c r="AK36" s="150"/>
      <c r="AL36" s="150"/>
      <c r="AO36" s="267"/>
      <c r="AP36" s="267"/>
      <c r="AQ36" s="268"/>
      <c r="AR36" s="268"/>
      <c r="AS36" s="268"/>
      <c r="AT36" s="268"/>
    </row>
    <row r="37" spans="3:46" ht="40.5" customHeight="1">
      <c r="AG37" s="150"/>
      <c r="AH37" s="150"/>
      <c r="AI37" s="150"/>
      <c r="AJ37" s="150"/>
      <c r="AK37" s="150"/>
      <c r="AL37" s="150"/>
      <c r="AO37" s="267"/>
      <c r="AP37" s="267"/>
      <c r="AQ37" s="268"/>
      <c r="AR37" s="268"/>
      <c r="AS37" s="268"/>
      <c r="AT37" s="268"/>
    </row>
    <row r="38" spans="3:46" ht="20.25" customHeight="1"/>
    <row r="39" spans="3:46" ht="20.25" hidden="1" customHeight="1"/>
    <row r="40" spans="3:46" ht="20.25" hidden="1" customHeight="1">
      <c r="C40" s="148" t="s">
        <v>56</v>
      </c>
      <c r="D40" s="148">
        <f>D10/2/(D24+D23)</f>
        <v>5</v>
      </c>
    </row>
    <row r="41" spans="3:46" ht="20.25" hidden="1" customHeight="1">
      <c r="C41" s="148" t="s">
        <v>57</v>
      </c>
      <c r="D41" s="148">
        <f>D40/(1-D21)</f>
        <v>25.000000000000007</v>
      </c>
    </row>
    <row r="42" spans="3:46" ht="20.25" hidden="1" customHeight="1"/>
    <row r="43" spans="3:46" ht="20.25" hidden="1" customHeight="1"/>
    <row r="44" spans="3:46" ht="20.25" hidden="1" customHeight="1"/>
    <row r="45" spans="3:46" ht="20.25" customHeight="1"/>
    <row r="46" spans="3:46" ht="20.25" customHeight="1"/>
    <row r="47" spans="3:46" ht="20.25" customHeight="1"/>
    <row r="48" spans="3:46" ht="20.25" customHeight="1"/>
    <row r="49" ht="20.25" customHeight="1"/>
    <row r="50" ht="20.25" customHeight="1"/>
    <row r="51" ht="20.25" customHeight="1"/>
    <row r="52" ht="20.25" customHeight="1"/>
    <row r="53" ht="20.25" customHeight="1"/>
  </sheetData>
  <mergeCells count="8">
    <mergeCell ref="C30:D30"/>
    <mergeCell ref="C36:D36"/>
    <mergeCell ref="H4:O4"/>
    <mergeCell ref="P4:W4"/>
    <mergeCell ref="F12:F13"/>
    <mergeCell ref="F14:F15"/>
    <mergeCell ref="H23:W23"/>
    <mergeCell ref="H24:W24"/>
  </mergeCells>
  <phoneticPr fontId="0" type="noConversion"/>
  <printOptions horizontalCentered="1"/>
  <pageMargins left="0.25" right="0.25" top="0.25" bottom="0.25" header="0.5" footer="0.5"/>
  <pageSetup scale="8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30" r:id="rId4" name="Drop Down 10">
              <controlPr defaultSize="0" autoFill="0" autoLine="0" autoPict="0">
                <anchor moveWithCells="1">
                  <from>
                    <xdr:col>11</xdr:col>
                    <xdr:colOff>0</xdr:colOff>
                    <xdr:row>13</xdr:row>
                    <xdr:rowOff>0</xdr:rowOff>
                  </from>
                  <to>
                    <xdr:col>12</xdr:col>
                    <xdr:colOff>0</xdr:colOff>
                    <xdr:row>13</xdr:row>
                    <xdr:rowOff>371475</xdr:rowOff>
                  </to>
                </anchor>
              </controlPr>
            </control>
          </mc:Choice>
        </mc:AlternateContent>
        <mc:AlternateContent xmlns:mc="http://schemas.openxmlformats.org/markup-compatibility/2006">
          <mc:Choice Requires="x14">
            <control shapeId="5131" r:id="rId5" name="Drop Down 11">
              <controlPr defaultSize="0" autoFill="0" autoLine="0" autoPict="0">
                <anchor moveWithCells="1">
                  <from>
                    <xdr:col>13</xdr:col>
                    <xdr:colOff>0</xdr:colOff>
                    <xdr:row>13</xdr:row>
                    <xdr:rowOff>0</xdr:rowOff>
                  </from>
                  <to>
                    <xdr:col>13</xdr:col>
                    <xdr:colOff>666750</xdr:colOff>
                    <xdr:row>13</xdr:row>
                    <xdr:rowOff>371475</xdr:rowOff>
                  </to>
                </anchor>
              </controlPr>
            </control>
          </mc:Choice>
        </mc:AlternateContent>
        <mc:AlternateContent xmlns:mc="http://schemas.openxmlformats.org/markup-compatibility/2006">
          <mc:Choice Requires="x14">
            <control shapeId="5132" r:id="rId6" name="Drop Down 12">
              <controlPr defaultSize="0" autoFill="0" autoLine="0" autoPict="0">
                <anchor moveWithCells="1">
                  <from>
                    <xdr:col>21</xdr:col>
                    <xdr:colOff>0</xdr:colOff>
                    <xdr:row>13</xdr:row>
                    <xdr:rowOff>0</xdr:rowOff>
                  </from>
                  <to>
                    <xdr:col>21</xdr:col>
                    <xdr:colOff>666750</xdr:colOff>
                    <xdr:row>13</xdr:row>
                    <xdr:rowOff>371475</xdr:rowOff>
                  </to>
                </anchor>
              </controlPr>
            </control>
          </mc:Choice>
        </mc:AlternateContent>
        <mc:AlternateContent xmlns:mc="http://schemas.openxmlformats.org/markup-compatibility/2006">
          <mc:Choice Requires="x14">
            <control shapeId="5133" r:id="rId7" name="Drop Down 13">
              <controlPr defaultSize="0" autoFill="0" autoLine="0" autoPict="0">
                <anchor moveWithCells="1">
                  <from>
                    <xdr:col>19</xdr:col>
                    <xdr:colOff>0</xdr:colOff>
                    <xdr:row>13</xdr:row>
                    <xdr:rowOff>0</xdr:rowOff>
                  </from>
                  <to>
                    <xdr:col>20</xdr:col>
                    <xdr:colOff>0</xdr:colOff>
                    <xdr:row>13</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T37"/>
  <sheetViews>
    <sheetView showGridLines="0" topLeftCell="A4" workbookViewId="0">
      <selection activeCell="R17" sqref="R17"/>
    </sheetView>
  </sheetViews>
  <sheetFormatPr defaultRowHeight="12.75"/>
  <cols>
    <col min="1" max="1" width="1.28515625" style="4" customWidth="1"/>
    <col min="2" max="2" width="46" style="4" customWidth="1"/>
    <col min="3" max="3" width="15" style="4" customWidth="1"/>
    <col min="4" max="5" width="7" style="4" customWidth="1"/>
    <col min="6" max="6" width="7.7109375" style="4" customWidth="1"/>
    <col min="7" max="7" width="5.7109375" style="34" customWidth="1"/>
    <col min="8" max="8" width="2.7109375" style="4" customWidth="1"/>
    <col min="9" max="9" width="16.7109375" style="4" customWidth="1"/>
    <col min="10" max="12" width="7.42578125" style="4" customWidth="1"/>
    <col min="13" max="13" width="5.7109375" style="34" customWidth="1"/>
    <col min="14" max="14" width="3.140625" style="4" customWidth="1"/>
    <col min="15" max="15" width="16.7109375" style="4" customWidth="1"/>
    <col min="16" max="18" width="7.85546875" style="4" customWidth="1"/>
    <col min="19" max="19" width="5.7109375" style="34" customWidth="1"/>
    <col min="20" max="16384" width="9.140625" style="4"/>
  </cols>
  <sheetData>
    <row r="1" spans="2:20" ht="9" customHeight="1">
      <c r="B1" s="28"/>
    </row>
    <row r="5" spans="2:20" ht="24.75" customHeight="1">
      <c r="B5" s="135" t="str">
        <f>CONCATENATE("System Derating for ",E34," DDR4 SDRAM (x",E35,", ",E36," Speed Grade)", ","," ", IF( 'DDR4 Config'!D$10= 1, "DBI not enabled", IF('DDR4 Config'!D$10=2, "DBI enabled", "DBI selection is wrong")))</f>
        <v>System Derating for 4Gb DDR4 SDRAM (x16, -075E Speed Grade), DBI not enabled</v>
      </c>
      <c r="C5" s="135"/>
      <c r="D5" s="135"/>
      <c r="E5" s="135"/>
      <c r="F5" s="135"/>
      <c r="G5" s="135"/>
      <c r="H5" s="135"/>
      <c r="I5" s="135"/>
      <c r="J5" s="135"/>
      <c r="K5" s="135"/>
      <c r="L5" s="135"/>
      <c r="M5" s="135"/>
      <c r="N5" s="135"/>
      <c r="O5" s="135"/>
      <c r="P5" s="135"/>
      <c r="Q5" s="135"/>
      <c r="R5" s="135"/>
      <c r="S5" s="135"/>
    </row>
    <row r="6" spans="2:20">
      <c r="B6" s="20"/>
      <c r="C6" s="20"/>
      <c r="D6" s="20"/>
      <c r="E6" s="20"/>
      <c r="F6" s="20"/>
      <c r="G6" s="126"/>
      <c r="H6" s="20"/>
      <c r="I6" s="262" t="s">
        <v>196</v>
      </c>
      <c r="J6" s="262"/>
      <c r="K6" s="262"/>
      <c r="L6" s="20"/>
      <c r="M6" s="126"/>
      <c r="N6" s="20"/>
      <c r="O6" s="20"/>
      <c r="P6" s="20"/>
      <c r="Q6" s="20"/>
      <c r="R6" s="20"/>
      <c r="S6" s="126"/>
    </row>
    <row r="7" spans="2:20" ht="27.75" customHeight="1">
      <c r="B7" s="134" t="s">
        <v>191</v>
      </c>
      <c r="C7" s="134"/>
      <c r="D7" s="134"/>
      <c r="E7" s="134"/>
      <c r="F7" s="134"/>
      <c r="G7" s="134"/>
      <c r="H7" s="134"/>
      <c r="I7" s="134"/>
      <c r="J7" s="134"/>
      <c r="K7" s="134"/>
      <c r="L7" s="134"/>
      <c r="M7" s="134"/>
      <c r="N7" s="134"/>
      <c r="O7" s="134"/>
      <c r="P7" s="134"/>
      <c r="Q7" s="134"/>
      <c r="R7" s="134"/>
      <c r="S7" s="134"/>
    </row>
    <row r="8" spans="2:20">
      <c r="C8" s="261" t="s">
        <v>196</v>
      </c>
    </row>
    <row r="9" spans="2:20" ht="13.5" thickBot="1"/>
    <row r="10" spans="2:20" s="6" customFormat="1" ht="54.95" customHeight="1" thickBot="1">
      <c r="B10" s="118"/>
      <c r="C10" s="139" t="s">
        <v>323</v>
      </c>
      <c r="D10" s="140"/>
      <c r="E10" s="140"/>
      <c r="F10" s="308"/>
      <c r="G10" s="141"/>
      <c r="H10" s="119"/>
      <c r="I10" s="139" t="s">
        <v>145</v>
      </c>
      <c r="J10" s="302"/>
      <c r="K10" s="302"/>
      <c r="L10" s="140"/>
      <c r="M10" s="141"/>
      <c r="O10" s="139" t="s">
        <v>171</v>
      </c>
      <c r="P10" s="302"/>
      <c r="Q10" s="302"/>
      <c r="R10" s="140"/>
      <c r="S10" s="141"/>
    </row>
    <row r="11" spans="2:20" s="6" customFormat="1" ht="21" customHeight="1" thickBot="1">
      <c r="B11" s="118"/>
      <c r="C11" s="306"/>
      <c r="D11" s="307" t="s">
        <v>366</v>
      </c>
      <c r="E11" s="307" t="s">
        <v>367</v>
      </c>
      <c r="F11" s="309" t="s">
        <v>368</v>
      </c>
      <c r="G11" s="305"/>
      <c r="H11" s="4"/>
      <c r="I11" s="306"/>
      <c r="J11" s="307" t="s">
        <v>366</v>
      </c>
      <c r="K11" s="307" t="s">
        <v>367</v>
      </c>
      <c r="L11" s="309" t="s">
        <v>368</v>
      </c>
      <c r="M11" s="305"/>
      <c r="O11" s="306"/>
      <c r="P11" s="307" t="s">
        <v>366</v>
      </c>
      <c r="Q11" s="307" t="s">
        <v>367</v>
      </c>
      <c r="R11" s="309" t="s">
        <v>368</v>
      </c>
      <c r="S11" s="305"/>
    </row>
    <row r="12" spans="2:20" ht="25.5" customHeight="1">
      <c r="B12" s="315" t="s">
        <v>71</v>
      </c>
      <c r="C12" s="319" t="s">
        <v>58</v>
      </c>
      <c r="D12" s="303">
        <f>+'DDR4 Config'!D25*'DDR4 Config'!D$15</f>
        <v>42.84</v>
      </c>
      <c r="E12" s="303">
        <f xml:space="preserve"> +'DDR4 Config'!D29*'DDR4 Config'!D$17</f>
        <v>8.25</v>
      </c>
      <c r="F12" s="310">
        <f>D12+E12</f>
        <v>51.09</v>
      </c>
      <c r="G12" s="159" t="s">
        <v>8</v>
      </c>
      <c r="I12" s="58" t="s">
        <v>106</v>
      </c>
      <c r="J12" s="311">
        <f>D12*'System Config'!D17*'System Config'!D18</f>
        <v>1.9278</v>
      </c>
      <c r="K12" s="311">
        <f>E12*'System Config'!D17*'System Config'!D18</f>
        <v>0.37125000000000002</v>
      </c>
      <c r="L12" s="311">
        <f>F12*'System Config'!D17*'System Config'!D18</f>
        <v>2.2990499999999998</v>
      </c>
      <c r="M12" s="127" t="s">
        <v>8</v>
      </c>
      <c r="N12" s="64"/>
      <c r="O12" s="58" t="s">
        <v>94</v>
      </c>
      <c r="P12" s="312">
        <f>(+'DDR4 Config'!D25* 'System Config'!D7 ) *    'System Config'!D17*'System Config'!D18</f>
        <v>1.8359999999999996</v>
      </c>
      <c r="Q12" s="312">
        <f>('DDR4 Config'!D29* 'System Config'!D8   ) *    'System Config'!D17*'System Config'!D18</f>
        <v>0.33749999999999997</v>
      </c>
      <c r="R12" s="311">
        <f>(+'DDR4 Config'!D25* 'System Config'!D7 +'DDR4 Config'!D29* 'System Config'!D8   ) *    'System Config'!D17*'System Config'!D18</f>
        <v>2.1734999999999998</v>
      </c>
      <c r="S12" s="127" t="s">
        <v>8</v>
      </c>
      <c r="T12" s="20"/>
    </row>
    <row r="13" spans="2:20" ht="25.5" customHeight="1">
      <c r="B13" s="316" t="s">
        <v>72</v>
      </c>
      <c r="C13" s="319" t="s">
        <v>59</v>
      </c>
      <c r="D13" s="303">
        <f>+'DDR4 Config'!D26*'DDR4 Config'!D$15</f>
        <v>63</v>
      </c>
      <c r="E13" s="303">
        <f>++'DDR4 Config'!D29*'DDR4 Config'!D$17</f>
        <v>8.25</v>
      </c>
      <c r="F13" s="310">
        <f t="shared" ref="F13:F23" si="0">D13+E13</f>
        <v>71.25</v>
      </c>
      <c r="G13" s="159" t="s">
        <v>8</v>
      </c>
      <c r="I13" s="58" t="s">
        <v>107</v>
      </c>
      <c r="J13" s="312">
        <f>D13*'System Config'!D17*(1-'System Config'!D18)</f>
        <v>16.064999999999998</v>
      </c>
      <c r="K13" s="312">
        <f>E13*'System Config'!D17*(1-'System Config'!D18)</f>
        <v>2.1037500000000002</v>
      </c>
      <c r="L13" s="311">
        <f>F13*'System Config'!D17*(1-'System Config'!D18)</f>
        <v>18.168749999999999</v>
      </c>
      <c r="M13" s="127" t="s">
        <v>8</v>
      </c>
      <c r="N13" s="64"/>
      <c r="O13" s="58" t="s">
        <v>95</v>
      </c>
      <c r="P13" s="312">
        <f>(+'DDR4 Config'!D26* 'System Config'!D7  )*   'System Config'!D17*(1-'System Config'!D18)      *   'System Config'!D$9/1000*'DDR4 Config'!D$35</f>
        <v>9.1822955738934748</v>
      </c>
      <c r="Q13" s="312">
        <f>('DDR4 Config'!D29* 'System Config'!D8  )*   'System Config'!D17*(1-'System Config'!D18)      *   'System Config'!D$9/1000*'DDR4 Config'!D$35</f>
        <v>1.1477869467366844</v>
      </c>
      <c r="R13" s="311">
        <f>(+'DDR4 Config'!D26* 'System Config'!D7  +'DDR4 Config'!D29* 'System Config'!D8  )*   'System Config'!D17*(1-'System Config'!D18)      *   'System Config'!D$9/1000*'DDR4 Config'!D$35</f>
        <v>10.330082520630157</v>
      </c>
      <c r="S13" s="127" t="s">
        <v>8</v>
      </c>
      <c r="T13" s="20"/>
    </row>
    <row r="14" spans="2:20" ht="25.5" customHeight="1">
      <c r="B14" s="316" t="s">
        <v>3</v>
      </c>
      <c r="C14" s="319" t="s">
        <v>60</v>
      </c>
      <c r="D14" s="303">
        <f>+'DDR4 Config'!D27*'DDR4 Config'!D$15</f>
        <v>50.4</v>
      </c>
      <c r="E14" s="303">
        <f xml:space="preserve"> +'DDR4 Config'!D29*'DDR4 Config'!D$17</f>
        <v>8.25</v>
      </c>
      <c r="F14" s="310">
        <f t="shared" si="0"/>
        <v>58.65</v>
      </c>
      <c r="G14" s="159" t="s">
        <v>8</v>
      </c>
      <c r="I14" s="58" t="s">
        <v>108</v>
      </c>
      <c r="J14" s="312">
        <f>D14*(1-'System Config'!D17)*'System Config'!D19</f>
        <v>5.2919999999999989</v>
      </c>
      <c r="K14" s="312">
        <f>E14*(1-'System Config'!D17)*'System Config'!D19</f>
        <v>0.86624999999999985</v>
      </c>
      <c r="L14" s="311">
        <f>F14*(1-'System Config'!D17)*'System Config'!D19</f>
        <v>6.1582499999999998</v>
      </c>
      <c r="M14" s="127" t="s">
        <v>8</v>
      </c>
      <c r="N14" s="64"/>
      <c r="O14" s="58" t="s">
        <v>96</v>
      </c>
      <c r="P14" s="312">
        <f xml:space="preserve"> ('DDR4 Config'!D27*'System Config'!D7  )*((1-'System Config'!D17)*'System Config'!D19)*'System Config'!D$9/1000*'DDR4 Config'!D$35</f>
        <v>3.0247561890472618</v>
      </c>
      <c r="Q14" s="312">
        <f xml:space="preserve"> ('DDR4 Config'!D29*'System Config'!D8)*((1-'System Config'!D17)*'System Config'!D19)*'System Config'!D$9/1000*'DDR4 Config'!D$35</f>
        <v>0.4726181545386347</v>
      </c>
      <c r="R14" s="311">
        <f xml:space="preserve"> ('DDR4 Config'!D27*'System Config'!D7   +'DDR4 Config'!D29*'System Config'!D8)*((1-'System Config'!D17)*'System Config'!D19)*'System Config'!D$9/1000*'DDR4 Config'!D$35</f>
        <v>3.4973743435858968</v>
      </c>
      <c r="S14" s="127" t="s">
        <v>8</v>
      </c>
      <c r="T14" s="20"/>
    </row>
    <row r="15" spans="2:20" ht="25.5" customHeight="1">
      <c r="B15" s="316" t="s">
        <v>73</v>
      </c>
      <c r="C15" s="319" t="s">
        <v>61</v>
      </c>
      <c r="D15" s="303">
        <f>+'DDR4 Config'!D28*'DDR4 Config'!D$15</f>
        <v>81.900000000000006</v>
      </c>
      <c r="E15" s="303">
        <f xml:space="preserve">  +'DDR4 Config'!D29*'DDR4 Config'!D$17</f>
        <v>8.25</v>
      </c>
      <c r="F15" s="310">
        <f t="shared" si="0"/>
        <v>90.15</v>
      </c>
      <c r="G15" s="159" t="s">
        <v>8</v>
      </c>
      <c r="I15" s="58" t="s">
        <v>109</v>
      </c>
      <c r="J15" s="312">
        <f>D15*(1-'System Config'!D17)*(1-'System Config'!D19)</f>
        <v>48.730499999999999</v>
      </c>
      <c r="K15" s="312">
        <f>E15*(1-'System Config'!D17)*(1-'System Config'!D19)</f>
        <v>4.9087499999999995</v>
      </c>
      <c r="L15" s="311">
        <f>F15*(1-'System Config'!D17)*(1-'System Config'!D19)</f>
        <v>53.639249999999997</v>
      </c>
      <c r="M15" s="127" t="s">
        <v>8</v>
      </c>
      <c r="N15" s="64"/>
      <c r="O15" s="58" t="s">
        <v>97</v>
      </c>
      <c r="P15" s="312">
        <f>('DDR4 Config'!D28*'System Config'!D7 )*((1-'System Config'!D17)*(1-'System Config'!D19))*'System Config'!D$9/1000*'DDR4 Config'!D$35</f>
        <v>27.852963240810205</v>
      </c>
      <c r="Q15" s="312">
        <f>('DDR4 Config'!D29*'System Config'!D8)*((1-'System Config'!D17)*(1-'System Config'!D19))*'System Config'!D$9/1000*'DDR4 Config'!D$35</f>
        <v>2.678169542385596</v>
      </c>
      <c r="R15" s="311">
        <f>('DDR4 Config'!D28*'System Config'!D7  +'DDR4 Config'!D29*'System Config'!D8)*((1-'System Config'!D17)*(1-'System Config'!D19))*'System Config'!D$9/1000*'DDR4 Config'!D$35</f>
        <v>30.531132783195797</v>
      </c>
      <c r="S15" s="127" t="s">
        <v>8</v>
      </c>
      <c r="T15" s="20"/>
    </row>
    <row r="16" spans="2:20" ht="25.5" customHeight="1">
      <c r="B16" s="316" t="s">
        <v>15</v>
      </c>
      <c r="C16" s="319" t="s">
        <v>62</v>
      </c>
      <c r="D16" s="303">
        <f>(('DDR4 Config'!D32-'DDR4 Config'!D28)*'DDR4 Config'!D40/'DDR4 Config'!D41/1000)*'DDR4 Config'!D15</f>
        <v>4.62</v>
      </c>
      <c r="E16" s="303">
        <f xml:space="preserve"> + ( ('DDR4 Config'!D33 -'DDR4 Config'!D29)*'DDR4 Config'!D40/'DDR4 Config'!D41/1000)*'DDR4 Config'!D17</f>
        <v>2.0166666666666666</v>
      </c>
      <c r="F16" s="310">
        <f t="shared" si="0"/>
        <v>6.6366666666666667</v>
      </c>
      <c r="G16" s="159" t="s">
        <v>8</v>
      </c>
      <c r="I16" s="58" t="s">
        <v>110</v>
      </c>
      <c r="J16" s="311">
        <f t="shared" ref="J16:K16" si="1">D16</f>
        <v>4.62</v>
      </c>
      <c r="K16" s="311">
        <f t="shared" si="1"/>
        <v>2.0166666666666666</v>
      </c>
      <c r="L16" s="311">
        <f>F16</f>
        <v>6.6366666666666667</v>
      </c>
      <c r="M16" s="127" t="s">
        <v>8</v>
      </c>
      <c r="N16" s="64"/>
      <c r="O16" s="58" t="s">
        <v>98</v>
      </c>
      <c r="P16" s="312">
        <f>(('DDR4 Config'!D32-'DDR4 Config'!D28)*'DDR4 Config'!D40/'DDR4 Config'!D41/1000)*'System Config'!D7</f>
        <v>4.4000000000000004</v>
      </c>
      <c r="Q16" s="312">
        <f xml:space="preserve">  (('DDR4 Config'!D33 -'DDR4 Config'!D29)*'DDR4 Config'!D40/'DDR4 Config'!D41/1000)*'System Config'!D8</f>
        <v>1.8333333333333335</v>
      </c>
      <c r="R16" s="311">
        <f>(('DDR4 Config'!D32-'DDR4 Config'!D28)*'DDR4 Config'!D40/'DDR4 Config'!D41/1000)*'System Config'!D7 +  (('DDR4 Config'!D33 -'DDR4 Config'!D29)*'DDR4 Config'!D40/'DDR4 Config'!D41/1000)*'System Config'!D8</f>
        <v>6.2333333333333343</v>
      </c>
      <c r="S16" s="127" t="s">
        <v>8</v>
      </c>
      <c r="T16" s="20"/>
    </row>
    <row r="17" spans="2:20" ht="25.5" customHeight="1">
      <c r="B17" s="317" t="s">
        <v>14</v>
      </c>
      <c r="C17" s="319" t="s">
        <v>63</v>
      </c>
      <c r="D17" s="303">
        <f>('DDR4 Config'!D23-('DDR4 Config'!D28*'DDR4 Config'!D39/'DDR4 Config'!D38+'DDR4 Config'!D26*('DDR4 Config'!D38-'DDR4 Config'!D39)/'DDR4 Config'!D38))*'DDR4 Config'!D$15</f>
        <v>11.907692307692301</v>
      </c>
      <c r="E17" s="303">
        <f xml:space="preserve">  IF( 'DDR4 Config'!D24-'DDR4 Config'!D29&gt;0,   ('DDR4 Config'!D24-('DDR4 Config'!D29*'DDR4 Config'!D39/'DDR4 Config'!D38+'DDR4 Config'!D29*('DDR4 Config'!D38-'DDR4 Config'!D39)/'DDR4 Config'!D38))*'DDR4 Config'!D$17,0)</f>
        <v>1.6500000000000004</v>
      </c>
      <c r="F17" s="310">
        <f t="shared" si="0"/>
        <v>13.557692307692301</v>
      </c>
      <c r="G17" s="159" t="s">
        <v>8</v>
      </c>
      <c r="I17" s="58" t="s">
        <v>111</v>
      </c>
      <c r="J17" s="312">
        <f>+D17*'DDR4 Config'!D38/'System Config'!D29</f>
        <v>17.365384615384606</v>
      </c>
      <c r="K17" s="312">
        <f>+E17*'DDR4 Config'!D38/'System Config'!D29</f>
        <v>2.4062500000000004</v>
      </c>
      <c r="L17" s="311">
        <f>+F17*'DDR4 Config'!D38/'System Config'!D29</f>
        <v>19.771634615384606</v>
      </c>
      <c r="M17" s="127" t="s">
        <v>8</v>
      </c>
      <c r="N17" s="64"/>
      <c r="O17" s="58" t="s">
        <v>99</v>
      </c>
      <c r="P17" s="312">
        <f>(('DDR4 Config'!D23-('DDR4 Config'!D28*'DDR4 Config'!D39/'DDR4 Config'!D38+'DDR4 Config'!D26*('DDR4 Config'!D38-'DDR4 Config'!D39)/'DDR4 Config'!D38))*'System Config'!D7)*('DDR4 Config'!D38/'System Config'!D29)</f>
        <v>16.538461538461529</v>
      </c>
      <c r="Q17" s="312">
        <f>(( ('DDR4 Config'!D24 -'DDR4 Config'!D29)*'System Config'!D8))*('DDR4 Config'!D38/'System Config'!D29)</f>
        <v>2.1875</v>
      </c>
      <c r="R17" s="311">
        <f>(('DDR4 Config'!D23-('DDR4 Config'!D28*'DDR4 Config'!D39/'DDR4 Config'!D38+'DDR4 Config'!D26*('DDR4 Config'!D38-'DDR4 Config'!D39)/'DDR4 Config'!D38))*'System Config'!D7+( ('DDR4 Config'!D24 -'DDR4 Config'!D29)*'System Config'!D8))*('DDR4 Config'!D38/'System Config'!D29)</f>
        <v>18.725961538461529</v>
      </c>
      <c r="S17" s="127" t="s">
        <v>8</v>
      </c>
      <c r="T17" s="20"/>
    </row>
    <row r="18" spans="2:20" ht="25.5" customHeight="1">
      <c r="B18" s="316" t="s">
        <v>13</v>
      </c>
      <c r="C18" s="319" t="s">
        <v>64</v>
      </c>
      <c r="D18" s="303">
        <f xml:space="preserve">    ('DDR4 Config'!D31-'DDR4 Config'!D$28)*'DDR4 Config'!D$15*'System Config'!D10/8</f>
        <v>308.7</v>
      </c>
      <c r="E18" s="303">
        <v>0</v>
      </c>
      <c r="F18" s="310">
        <f t="shared" si="0"/>
        <v>308.7</v>
      </c>
      <c r="G18" s="159" t="s">
        <v>8</v>
      </c>
      <c r="I18" s="58" t="s">
        <v>112</v>
      </c>
      <c r="J18" s="312">
        <f>+D18*'System Config'!D24</f>
        <v>154.35</v>
      </c>
      <c r="K18" s="312">
        <f>+E18*'System Config'!D24</f>
        <v>0</v>
      </c>
      <c r="L18" s="311">
        <f>+F18*'System Config'!D24</f>
        <v>154.35</v>
      </c>
      <c r="M18" s="127" t="s">
        <v>8</v>
      </c>
      <c r="N18" s="64"/>
      <c r="O18" s="58" t="s">
        <v>100</v>
      </c>
      <c r="P18" s="312">
        <f>( ('DDR4 Config'!D31-'DDR4 Config'!D$28)*'System Config'!D7*'System Config'!D10/8)*('System Config'!D24)*'System Config'!D$9/1000*'DDR4 Config'!D$35</f>
        <v>88.222055513878473</v>
      </c>
      <c r="Q18" s="312">
        <v>0</v>
      </c>
      <c r="R18" s="311">
        <f>( ('DDR4 Config'!D31-'DDR4 Config'!D$28)*'System Config'!D7*'System Config'!D10/8)*('System Config'!D24)*'System Config'!D$9/1000*'DDR4 Config'!D$35</f>
        <v>88.222055513878473</v>
      </c>
      <c r="S18" s="127" t="s">
        <v>8</v>
      </c>
      <c r="T18" s="20"/>
    </row>
    <row r="19" spans="2:20" ht="25.5" customHeight="1">
      <c r="B19" s="316" t="s">
        <v>54</v>
      </c>
      <c r="C19" s="319" t="s">
        <v>65</v>
      </c>
      <c r="D19" s="303">
        <f>+('DDR4 Config'!D30-'DDR4 Config'!D$28)*'DDR4 Config'!D$15*'System Config'!D10/8</f>
        <v>201.6</v>
      </c>
      <c r="E19" s="303">
        <v>0</v>
      </c>
      <c r="F19" s="310">
        <f t="shared" si="0"/>
        <v>201.6</v>
      </c>
      <c r="G19" s="159" t="s">
        <v>8</v>
      </c>
      <c r="I19" s="58" t="s">
        <v>113</v>
      </c>
      <c r="J19" s="312">
        <f>+D19*'System Config'!D23</f>
        <v>60.48</v>
      </c>
      <c r="K19" s="312">
        <f>+E19*'System Config'!D23</f>
        <v>0</v>
      </c>
      <c r="L19" s="311">
        <f>+F19*'System Config'!D23</f>
        <v>60.48</v>
      </c>
      <c r="M19" s="127" t="s">
        <v>8</v>
      </c>
      <c r="N19" s="64"/>
      <c r="O19" s="58" t="s">
        <v>101</v>
      </c>
      <c r="P19" s="312">
        <f>( ('DDR4 Config'!D30-'DDR4 Config'!D$28)*'System Config'!D7*'System Config'!D10/8)*('System Config'!D23)*'System Config'!D$9/1000*'DDR4 Config'!D$35</f>
        <v>34.568642160540129</v>
      </c>
      <c r="Q19" s="312">
        <v>0</v>
      </c>
      <c r="R19" s="311">
        <f>( ('DDR4 Config'!D30-'DDR4 Config'!D$28)*'System Config'!D7*'System Config'!D10/8)*('System Config'!D23)*'System Config'!D$9/1000*'DDR4 Config'!D$35</f>
        <v>34.568642160540129</v>
      </c>
      <c r="S19" s="127" t="s">
        <v>8</v>
      </c>
      <c r="T19" s="20"/>
    </row>
    <row r="20" spans="2:20" ht="25.5" customHeight="1">
      <c r="B20" s="316" t="s">
        <v>55</v>
      </c>
      <c r="C20" s="319" t="s">
        <v>66</v>
      </c>
      <c r="D20" s="303">
        <f>IF('DDR4 Config'!D$10 = 1,('DDR4 Config'!D$15/'System Config'!D7)*'System Config'!D12*('DDR4 Config'!D$8+'DDR4 Config'!D20),  IF('DDR4 Config'!D$10 = 2,('DDR4 Config'!D$17/'System Config'!C8)*'System Config'!D12*(('DDR4 Config'!D$8+1)/2+'DDR4 Config'!D20),    "error"))</f>
        <v>190.456163213553</v>
      </c>
      <c r="E20" s="303">
        <v>0</v>
      </c>
      <c r="F20" s="310">
        <f t="shared" si="0"/>
        <v>190.456163213553</v>
      </c>
      <c r="G20" s="159" t="s">
        <v>8</v>
      </c>
      <c r="I20" s="58" t="s">
        <v>114</v>
      </c>
      <c r="J20" s="312">
        <f>+D20*'System Config'!D23</f>
        <v>57.136848964065898</v>
      </c>
      <c r="K20" s="312">
        <f>+E20*'System Config'!D23</f>
        <v>0</v>
      </c>
      <c r="L20" s="311">
        <f>+F20*'System Config'!D23</f>
        <v>57.136848964065898</v>
      </c>
      <c r="M20" s="127" t="s">
        <v>8</v>
      </c>
      <c r="N20" s="64"/>
      <c r="O20" s="58" t="s">
        <v>102</v>
      </c>
      <c r="P20" s="312">
        <f>(IF('DDR4 Config'!D$10 = 1,'System Config'!D12*('DDR4 Config'!D$8+'DDR4 Config'!D20),  IF('DDR4 Config'!D$10 = 2,'System Config'!D12*(('DDR4 Config'!D$8+1)/2+'DDR4 Config'!D20),    "error")))*('System Config'!D23)</f>
        <v>54.416046632443702</v>
      </c>
      <c r="Q20" s="312">
        <v>0</v>
      </c>
      <c r="R20" s="311">
        <f>(IF('DDR4 Config'!D$10 = 1,'System Config'!D12*('DDR4 Config'!D$8+'DDR4 Config'!D20),  IF('DDR4 Config'!D$10 = 2,'System Config'!D12*(('DDR4 Config'!D$8+1)/2+'DDR4 Config'!D20),    "error")))*('System Config'!D23)</f>
        <v>54.416046632443702</v>
      </c>
      <c r="S20" s="127" t="s">
        <v>8</v>
      </c>
      <c r="T20" s="20"/>
    </row>
    <row r="21" spans="2:20" ht="25.5" customHeight="1">
      <c r="B21" s="317" t="s">
        <v>25</v>
      </c>
      <c r="C21" s="319" t="s">
        <v>67</v>
      </c>
      <c r="D21" s="303">
        <f>IF( 'DDR4 Config'!D$10 =1,('DDR4 Config'!D$15/'System Config'!D7)* ('System Config'!D13*('DDR4 Config'!D$8+'DDR4 Config'!D$20+'DDR4 Config'!D$21)), IF( 'DDR4 Config'!D$10 =2,('DDR4 Config'!D$15/'System Config'!D7)* ('System Config'!D13*(('DDR4 Config'!D$8+1)/2+'DDR4 Config'!D$20+'DDR4 Config'!D$21)), "error"))</f>
        <v>68.132479574099648</v>
      </c>
      <c r="E21" s="303">
        <v>0</v>
      </c>
      <c r="F21" s="310">
        <f t="shared" si="0"/>
        <v>68.132479574099648</v>
      </c>
      <c r="G21" s="159" t="s">
        <v>8</v>
      </c>
      <c r="I21" s="58" t="s">
        <v>115</v>
      </c>
      <c r="J21" s="312">
        <f>+D21*'System Config'!D24</f>
        <v>34.066239787049824</v>
      </c>
      <c r="K21" s="312">
        <f>+E21*'System Config'!D24</f>
        <v>0</v>
      </c>
      <c r="L21" s="311">
        <f>+F21*'System Config'!D24</f>
        <v>34.066239787049824</v>
      </c>
      <c r="M21" s="127" t="s">
        <v>8</v>
      </c>
      <c r="N21" s="64"/>
      <c r="O21" s="58" t="s">
        <v>103</v>
      </c>
      <c r="P21" s="312">
        <f>(IF( 'DDR4 Config'!D$10 =1, ('System Config'!D13*('DDR4 Config'!D$8+'DDR4 Config'!D$20+'DDR4 Config'!D$21)), IF( 'DDR4 Config'!D$10 =2, ('System Config'!D13*(('DDR4 Config'!D$8+1)/2+'DDR4 Config'!D$20+'DDR4 Config'!D$21)), "error")))*('System Config'!D24)</f>
        <v>32.444037892428405</v>
      </c>
      <c r="Q21" s="312">
        <v>0</v>
      </c>
      <c r="R21" s="311">
        <f>(IF( 'DDR4 Config'!D$10 =1, ('System Config'!D13*('DDR4 Config'!D$8+'DDR4 Config'!D$20+'DDR4 Config'!D$21)), IF( 'DDR4 Config'!D$10 =2, ('System Config'!D13*(('DDR4 Config'!D$8+1)/2+'DDR4 Config'!D$20+'DDR4 Config'!D$21)), "error")))*('System Config'!D24)</f>
        <v>32.444037892428405</v>
      </c>
      <c r="S21" s="127" t="s">
        <v>8</v>
      </c>
      <c r="T21" s="20"/>
    </row>
    <row r="22" spans="2:20" ht="25.5" customHeight="1">
      <c r="B22" s="316" t="s">
        <v>81</v>
      </c>
      <c r="C22" s="319" t="s">
        <v>68</v>
      </c>
      <c r="D22" s="303">
        <f xml:space="preserve">  IF('DDR4 Config'!D$10=1,('DDR4 Config'!D$15/'System Config'!D7)* ('System Config'!D14*('DDR4 Config'!D$8+'DDR4 Config'!D$20)),   IF('DDR4 Config'!D$10=2, ('DDR4 Config'!D$15/'System Config'!D7)*  ('System Config'!D14*('DDR4 Config'!D$8+1+'DDR4 Config'!D$20)), "error"))</f>
        <v>107.83928712941027</v>
      </c>
      <c r="E22" s="303">
        <v>0</v>
      </c>
      <c r="F22" s="310">
        <f t="shared" si="0"/>
        <v>107.83928712941027</v>
      </c>
      <c r="G22" s="159" t="s">
        <v>8</v>
      </c>
      <c r="I22" s="58" t="s">
        <v>116</v>
      </c>
      <c r="J22" s="312">
        <f>+D22*'System Config'!D26</f>
        <v>0</v>
      </c>
      <c r="K22" s="312">
        <f>+E22*'System Config'!D26</f>
        <v>0</v>
      </c>
      <c r="L22" s="311">
        <f>+F22*'System Config'!D26</f>
        <v>0</v>
      </c>
      <c r="M22" s="127" t="s">
        <v>8</v>
      </c>
      <c r="N22" s="64"/>
      <c r="O22" s="58" t="s">
        <v>104</v>
      </c>
      <c r="P22" s="312">
        <f>(IF('DDR4 Config'!D$10=1, ('System Config'!D14*('DDR4 Config'!D$8+'DDR4 Config'!D$20)),   IF('DDR4 Config'!D$10=2,   ('System Config'!D14*('DDR4 Config'!D$8+1+'DDR4 Config'!D$20)), "error")))*('System Config'!D26)</f>
        <v>0</v>
      </c>
      <c r="Q22" s="312">
        <v>0</v>
      </c>
      <c r="R22" s="311">
        <f>(IF('DDR4 Config'!D$10=1, ('System Config'!D14*('DDR4 Config'!D$8+'DDR4 Config'!D$20)),   IF('DDR4 Config'!D$10=2,   ('System Config'!D14*('DDR4 Config'!D$8+1+'DDR4 Config'!D$20)), "error")))*('System Config'!D26)</f>
        <v>0</v>
      </c>
      <c r="S22" s="127" t="s">
        <v>8</v>
      </c>
      <c r="T22" s="20"/>
    </row>
    <row r="23" spans="2:20" ht="25.5" customHeight="1" thickBot="1">
      <c r="B23" s="318" t="s">
        <v>28</v>
      </c>
      <c r="C23" s="320" t="s">
        <v>69</v>
      </c>
      <c r="D23" s="304">
        <f xml:space="preserve">  IF('DDR4 Config'!D$10=1,('DDR4 Config'!D$15/'System Config'!D7)*('System Config'!D15*('DDR4 Config'!D$8+'DDR4 Config'!D$20+'DDR4 Config'!D$21)),   IF('DDR4 Config'!D$10=2,   ('DDR4 Config'!D$15/'System Config'!D7)*('System Config'!D14*('DDR4 Config'!D$8+1+'DDR4 Config'!D$20+'DDR4 Config'!D$21)), "error"))</f>
        <v>152.71073007987852</v>
      </c>
      <c r="E23" s="304">
        <v>0</v>
      </c>
      <c r="F23" s="321">
        <f t="shared" si="0"/>
        <v>152.71073007987852</v>
      </c>
      <c r="G23" s="160" t="s">
        <v>8</v>
      </c>
      <c r="I23" s="69" t="s">
        <v>117</v>
      </c>
      <c r="J23" s="313">
        <f>+D23*'System Config'!D27</f>
        <v>0</v>
      </c>
      <c r="K23" s="313">
        <f>+E23*'System Config'!D27</f>
        <v>0</v>
      </c>
      <c r="L23" s="314">
        <f>+F23*'System Config'!D27</f>
        <v>0</v>
      </c>
      <c r="M23" s="128" t="s">
        <v>8</v>
      </c>
      <c r="N23" s="64"/>
      <c r="O23" s="69" t="s">
        <v>105</v>
      </c>
      <c r="P23" s="313">
        <f>( IF('DDR4 Config'!D$10=1, ('System Config'!D15*('DDR4 Config'!D$8+'DDR4 Config'!D$20+'DDR4 Config'!D$21)),   IF('DDR4 Config'!D$10=2,   ('System Config'!D14*('DDR4 Config'!D$8+1+'DDR4 Config'!D$20+'DDR4 Config'!D$21)), "error")))*('System Config'!D27)</f>
        <v>0</v>
      </c>
      <c r="Q23" s="313">
        <v>0</v>
      </c>
      <c r="R23" s="314">
        <f>( IF('DDR4 Config'!D$10=1, ('System Config'!D15*('DDR4 Config'!D$8+'DDR4 Config'!D$20+'DDR4 Config'!D$21)),   IF('DDR4 Config'!D$10=2,   ('System Config'!D14*('DDR4 Config'!D$8+1+'DDR4 Config'!D$20+'DDR4 Config'!D$21)), "error")))*('System Config'!D27)</f>
        <v>0</v>
      </c>
      <c r="S23" s="128" t="s">
        <v>8</v>
      </c>
      <c r="T23" s="20"/>
    </row>
    <row r="24" spans="2:20" ht="13.5" thickBot="1">
      <c r="B24" s="64"/>
      <c r="C24" s="64"/>
      <c r="D24" s="64"/>
      <c r="E24" s="64"/>
      <c r="F24" s="64"/>
      <c r="G24" s="62"/>
      <c r="I24" s="64"/>
      <c r="J24" s="64"/>
      <c r="K24" s="64"/>
      <c r="L24" s="64"/>
      <c r="M24" s="62"/>
      <c r="N24" s="64"/>
      <c r="O24" s="64"/>
      <c r="P24" s="64"/>
      <c r="Q24" s="64"/>
      <c r="R24" s="64"/>
      <c r="S24" s="62"/>
    </row>
    <row r="25" spans="2:20" s="5" customFormat="1" ht="18.95" customHeight="1" thickBot="1">
      <c r="B25" s="51"/>
      <c r="C25" s="51"/>
      <c r="D25" s="120"/>
      <c r="E25" s="120"/>
      <c r="F25" s="120"/>
      <c r="G25" s="129"/>
      <c r="H25" s="4"/>
      <c r="I25" s="51"/>
      <c r="J25" s="51"/>
      <c r="K25" s="51"/>
      <c r="L25" s="57"/>
      <c r="M25" s="129"/>
      <c r="N25" s="51"/>
      <c r="O25" s="161" t="s">
        <v>0</v>
      </c>
      <c r="P25" s="161"/>
      <c r="Q25" s="161"/>
      <c r="R25" s="121">
        <f>SUM(R12:R21)</f>
        <v>281.14216671849744</v>
      </c>
      <c r="S25" s="130" t="s">
        <v>8</v>
      </c>
    </row>
    <row r="26" spans="2:20" ht="16.5" thickBot="1">
      <c r="L26" s="57"/>
      <c r="M26" s="129"/>
      <c r="N26" s="51"/>
      <c r="O26" s="161" t="s">
        <v>224</v>
      </c>
      <c r="P26" s="161"/>
      <c r="Q26" s="161"/>
      <c r="R26" s="121">
        <f>SUM(R22:R23)</f>
        <v>0</v>
      </c>
      <c r="S26" s="130" t="s">
        <v>8</v>
      </c>
    </row>
    <row r="28" spans="2:20" ht="29.25" customHeight="1">
      <c r="L28" s="369"/>
      <c r="M28" s="369"/>
      <c r="R28" s="369"/>
      <c r="S28" s="369"/>
    </row>
    <row r="29" spans="2:20" hidden="1"/>
    <row r="30" spans="2:20" hidden="1">
      <c r="B30" s="4" t="s">
        <v>7</v>
      </c>
      <c r="D30" s="4" t="str">
        <f>'System Config'!C8</f>
        <v>System VPP</v>
      </c>
      <c r="E30" s="4">
        <f>'System Config'!D8</f>
        <v>2.5</v>
      </c>
    </row>
    <row r="31" spans="2:20" hidden="1">
      <c r="B31" s="4" t="s">
        <v>49</v>
      </c>
      <c r="D31" s="4" t="str">
        <f>'System Config'!C9</f>
        <v>System CK frequency (data rate /2)</v>
      </c>
      <c r="E31" s="4">
        <f>'System Config'!D9</f>
        <v>800</v>
      </c>
    </row>
    <row r="32" spans="2:20" hidden="1"/>
    <row r="33" spans="2:5" hidden="1">
      <c r="B33" s="4" t="s">
        <v>50</v>
      </c>
    </row>
    <row r="34" spans="2:5" hidden="1">
      <c r="B34" s="4" t="s">
        <v>42</v>
      </c>
      <c r="D34" s="4" t="str">
        <f>'DDR4 Config'!C7</f>
        <v>DRAM Density</v>
      </c>
      <c r="E34" s="4" t="str">
        <f>'DDR4 Config'!D7</f>
        <v>4Gb</v>
      </c>
    </row>
    <row r="35" spans="2:5" hidden="1">
      <c r="B35" s="4" t="s">
        <v>51</v>
      </c>
      <c r="D35" s="4" t="str">
        <f>'DDR4 Config'!C8</f>
        <v>DRAM Width (Number of DQs per )</v>
      </c>
      <c r="E35" s="4">
        <f>'DDR4 Config'!D8</f>
        <v>16</v>
      </c>
    </row>
    <row r="36" spans="2:5" hidden="1">
      <c r="B36" s="4" t="s">
        <v>43</v>
      </c>
      <c r="D36" s="4" t="str">
        <f>'DDR4 Config'!C9</f>
        <v>Speed Grade</v>
      </c>
      <c r="E36" s="4" t="str">
        <f>'DDR4 Config'!D9</f>
        <v>-075E</v>
      </c>
    </row>
    <row r="37" spans="2:5" hidden="1"/>
  </sheetData>
  <mergeCells count="2">
    <mergeCell ref="L28:M28"/>
    <mergeCell ref="R28:S28"/>
  </mergeCells>
  <phoneticPr fontId="0" type="noConversion"/>
  <printOptions horizontalCentered="1"/>
  <pageMargins left="0.25" right="0.25" top="0.25" bottom="0.25" header="0.5" footer="0.5"/>
  <pageSetup scale="7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64"/>
  <sheetViews>
    <sheetView showGridLines="0" tabSelected="1" workbookViewId="0">
      <selection activeCell="C5" sqref="C5"/>
    </sheetView>
  </sheetViews>
  <sheetFormatPr defaultColWidth="8.85546875" defaultRowHeight="12.75"/>
  <cols>
    <col min="1" max="1" width="3" customWidth="1"/>
    <col min="2" max="2" width="4.85546875" customWidth="1"/>
    <col min="3" max="3" width="32" customWidth="1"/>
    <col min="14" max="14" width="25" customWidth="1"/>
    <col min="15" max="15" width="99.7109375" customWidth="1"/>
    <col min="16" max="16" width="11.28515625" customWidth="1"/>
    <col min="17" max="17" width="8.85546875" customWidth="1"/>
  </cols>
  <sheetData>
    <row r="1" spans="1:17">
      <c r="A1" s="28"/>
    </row>
    <row r="5" spans="1:17" ht="23.25">
      <c r="A5" s="133" t="str">
        <f>CONCATENATE('DDR4 Config'!D7," DDR4 SDRAM with ",'DDR4 Config'!D8," DQs and a ",'DDR4 Config'!D9," Speed Grade", ","," ", IF( 'DDR4 Config'!D$10= 1, "DBI not enabled", IF('DDR4 Config'!D$10=2, "DBI enabled", "DBI selection is wrong")))</f>
        <v>4Gb DDR4 SDRAM with 16 DQs and a -075E Speed Grade, DBI not enabled</v>
      </c>
      <c r="B5" s="133"/>
      <c r="C5" s="133"/>
      <c r="D5" s="133"/>
      <c r="E5" s="133"/>
      <c r="F5" s="133"/>
      <c r="G5" s="133"/>
      <c r="H5" s="133"/>
      <c r="I5" s="133"/>
      <c r="J5" s="133"/>
      <c r="K5" s="133"/>
      <c r="L5" s="133"/>
      <c r="M5" s="133"/>
    </row>
    <row r="6" spans="1:17" ht="5.25" customHeight="1"/>
    <row r="7" spans="1:17" s="3" customFormat="1" ht="42" customHeight="1" thickBot="1">
      <c r="A7" s="131"/>
      <c r="B7" s="131"/>
      <c r="C7" s="132" t="str">
        <f>CONCATENATE(A49," ",A50," ",A51," All parameters are calculated and require no user input.")</f>
        <v>System is operating at 800 MHz clock with VDD = 2.5V. Read bandwidth is 960 MT/s with write bandwidth of 1600 MT/s. The DRAM terminates  0 MT/s. ACT commands are separated by 31.2ns on average. All parameters are calculated and require no user input.</v>
      </c>
      <c r="D7" s="132"/>
      <c r="E7" s="132"/>
      <c r="F7" s="132"/>
      <c r="G7" s="132"/>
      <c r="H7" s="132"/>
      <c r="I7" s="132"/>
      <c r="J7" s="132"/>
      <c r="K7" s="132"/>
      <c r="L7" s="132"/>
      <c r="M7" s="132"/>
    </row>
    <row r="8" spans="1:17" s="43" customFormat="1" ht="27" customHeight="1">
      <c r="A8" s="169"/>
      <c r="B8" s="370" t="s">
        <v>228</v>
      </c>
      <c r="C8" s="371"/>
      <c r="D8" s="371"/>
      <c r="E8" s="371"/>
      <c r="F8" s="170"/>
      <c r="G8" s="170"/>
      <c r="H8" s="170"/>
      <c r="I8" s="170"/>
      <c r="J8" s="170"/>
      <c r="K8" s="170"/>
      <c r="L8" s="170"/>
      <c r="M8" s="171"/>
    </row>
    <row r="9" spans="1:17" ht="15" thickBot="1">
      <c r="A9" s="172"/>
      <c r="B9" s="167"/>
      <c r="C9" s="167"/>
      <c r="D9" s="168"/>
      <c r="E9" s="167"/>
      <c r="F9" s="2"/>
      <c r="G9" s="2"/>
      <c r="H9" s="2"/>
      <c r="I9" s="2"/>
      <c r="J9" s="2"/>
      <c r="K9" s="2"/>
      <c r="L9" s="2"/>
      <c r="M9" s="173"/>
      <c r="P9" s="163" t="s">
        <v>196</v>
      </c>
      <c r="Q9" s="164" t="s">
        <v>196</v>
      </c>
    </row>
    <row r="10" spans="1:17" ht="14.25">
      <c r="A10" s="172"/>
      <c r="B10" s="197" t="s">
        <v>231</v>
      </c>
      <c r="C10" s="198"/>
      <c r="D10" s="199">
        <f>'Power Calcs'!R17</f>
        <v>18.725961538461529</v>
      </c>
      <c r="E10" s="200" t="s">
        <v>8</v>
      </c>
      <c r="F10" s="2"/>
      <c r="G10" s="2"/>
      <c r="H10" s="2"/>
      <c r="I10" s="2"/>
      <c r="J10" s="2"/>
      <c r="K10" s="2"/>
      <c r="L10" s="2"/>
      <c r="M10" s="173"/>
      <c r="P10" s="165" t="str">
        <f>$B$10</f>
        <v>ACT</v>
      </c>
      <c r="Q10" s="166">
        <f>$D$10</f>
        <v>18.725961538461529</v>
      </c>
    </row>
    <row r="11" spans="1:17" ht="15">
      <c r="A11" s="172"/>
      <c r="B11" s="193"/>
      <c r="C11" s="194" t="s">
        <v>74</v>
      </c>
      <c r="D11" s="195">
        <f>D10</f>
        <v>18.725961538461529</v>
      </c>
      <c r="E11" s="196" t="s">
        <v>8</v>
      </c>
      <c r="F11" s="2"/>
      <c r="G11" s="2"/>
      <c r="H11" s="2"/>
      <c r="I11" s="2"/>
      <c r="J11" s="2"/>
      <c r="K11" s="2"/>
      <c r="L11" s="2"/>
      <c r="M11" s="173"/>
      <c r="P11" s="165" t="str">
        <f>$B$12</f>
        <v>RD</v>
      </c>
      <c r="Q11" s="166">
        <f>$D$12</f>
        <v>34.568642160540129</v>
      </c>
    </row>
    <row r="12" spans="1:17" ht="14.25">
      <c r="A12" s="172"/>
      <c r="B12" s="201" t="s">
        <v>233</v>
      </c>
      <c r="C12" s="202"/>
      <c r="D12" s="203">
        <f>'Power Calcs'!R19</f>
        <v>34.568642160540129</v>
      </c>
      <c r="E12" s="204" t="s">
        <v>8</v>
      </c>
      <c r="F12" s="2"/>
      <c r="G12" s="2"/>
      <c r="H12" s="2"/>
      <c r="I12" s="2"/>
      <c r="J12" s="2"/>
      <c r="K12" s="2"/>
      <c r="L12" s="2"/>
      <c r="M12" s="173"/>
      <c r="P12" s="165" t="str">
        <f>$B$13</f>
        <v>WR</v>
      </c>
      <c r="Q12" s="166">
        <f>$D$13</f>
        <v>88.222055513878473</v>
      </c>
    </row>
    <row r="13" spans="1:17" ht="14.25">
      <c r="A13" s="172"/>
      <c r="B13" s="201" t="s">
        <v>232</v>
      </c>
      <c r="C13" s="202"/>
      <c r="D13" s="203">
        <f>'Power Calcs'!R18</f>
        <v>88.222055513878473</v>
      </c>
      <c r="E13" s="204" t="s">
        <v>8</v>
      </c>
      <c r="F13" s="2"/>
      <c r="G13" s="2"/>
      <c r="H13" s="2"/>
      <c r="I13" s="2"/>
      <c r="J13" s="2"/>
      <c r="K13" s="2"/>
      <c r="L13" s="2"/>
      <c r="M13" s="173"/>
      <c r="P13" s="165" t="str">
        <f>$B$14</f>
        <v>READ I/O</v>
      </c>
      <c r="Q13" s="166">
        <f>$D$14</f>
        <v>54.416046632443702</v>
      </c>
    </row>
    <row r="14" spans="1:17" ht="14.25">
      <c r="A14" s="172"/>
      <c r="B14" s="201" t="s">
        <v>234</v>
      </c>
      <c r="C14" s="202"/>
      <c r="D14" s="203">
        <f>'Power Calcs'!R20</f>
        <v>54.416046632443702</v>
      </c>
      <c r="E14" s="204" t="s">
        <v>8</v>
      </c>
      <c r="F14" s="2"/>
      <c r="G14" s="2"/>
      <c r="H14" s="2"/>
      <c r="I14" s="2"/>
      <c r="J14" s="2"/>
      <c r="K14" s="2"/>
      <c r="L14" s="2"/>
      <c r="M14" s="173"/>
      <c r="P14" s="165" t="str">
        <f>$B$15</f>
        <v>Write ODT</v>
      </c>
      <c r="Q14" s="166">
        <f>$D$15</f>
        <v>32.444037892428405</v>
      </c>
    </row>
    <row r="15" spans="1:17" ht="14.25">
      <c r="A15" s="172"/>
      <c r="B15" s="201" t="s">
        <v>235</v>
      </c>
      <c r="C15" s="202"/>
      <c r="D15" s="203">
        <f>'Power Calcs'!R21</f>
        <v>32.444037892428405</v>
      </c>
      <c r="E15" s="204" t="s">
        <v>8</v>
      </c>
      <c r="F15" s="2"/>
      <c r="G15" s="2"/>
      <c r="H15" s="2"/>
      <c r="I15" s="2"/>
      <c r="J15" s="2"/>
      <c r="K15" s="2"/>
      <c r="L15" s="2"/>
      <c r="M15" s="173"/>
      <c r="P15" s="165" t="str">
        <f>$B$17</f>
        <v>ACT_STBY</v>
      </c>
      <c r="Q15" s="166">
        <f>$D$17</f>
        <v>30.531132783195797</v>
      </c>
    </row>
    <row r="16" spans="1:17" ht="15">
      <c r="A16" s="172"/>
      <c r="B16" s="189"/>
      <c r="C16" s="190" t="s">
        <v>86</v>
      </c>
      <c r="D16" s="191">
        <f>+D12+D13+D14+D15</f>
        <v>209.65078219929072</v>
      </c>
      <c r="E16" s="192" t="s">
        <v>8</v>
      </c>
      <c r="F16" s="2"/>
      <c r="G16" s="2"/>
      <c r="H16" s="2"/>
      <c r="I16" s="2"/>
      <c r="J16" s="2"/>
      <c r="K16" s="2"/>
      <c r="L16" s="2"/>
      <c r="M16" s="173"/>
      <c r="P16" s="165" t="str">
        <f>$B$18</f>
        <v>PRE_STBY</v>
      </c>
      <c r="Q16" s="166">
        <f>$D$18</f>
        <v>10.330082520630157</v>
      </c>
    </row>
    <row r="17" spans="1:17" ht="14.25">
      <c r="A17" s="172"/>
      <c r="B17" s="205" t="s">
        <v>229</v>
      </c>
      <c r="C17" s="206"/>
      <c r="D17" s="207">
        <f>'Power Calcs'!R15</f>
        <v>30.531132783195797</v>
      </c>
      <c r="E17" s="208" t="s">
        <v>8</v>
      </c>
      <c r="F17" s="2"/>
      <c r="G17" s="2"/>
      <c r="H17" s="2"/>
      <c r="I17" s="2"/>
      <c r="J17" s="2"/>
      <c r="K17" s="2"/>
      <c r="L17" s="2"/>
      <c r="M17" s="173"/>
      <c r="P17" s="165" t="str">
        <f>$B$19</f>
        <v>ACT_PDN</v>
      </c>
      <c r="Q17" s="166">
        <f>$D$19</f>
        <v>3.4973743435858968</v>
      </c>
    </row>
    <row r="18" spans="1:17" ht="14.25">
      <c r="A18" s="172"/>
      <c r="B18" s="205" t="s">
        <v>226</v>
      </c>
      <c r="C18" s="206"/>
      <c r="D18" s="207">
        <f>'Power Calcs'!R13</f>
        <v>10.330082520630157</v>
      </c>
      <c r="E18" s="208" t="s">
        <v>8</v>
      </c>
      <c r="F18" s="2"/>
      <c r="G18" s="2"/>
      <c r="H18" s="2"/>
      <c r="I18" s="2"/>
      <c r="J18" s="2"/>
      <c r="K18" s="2"/>
      <c r="L18" s="2"/>
      <c r="M18" s="173"/>
      <c r="P18" s="165" t="str">
        <f>$B$20</f>
        <v>PRE_PDN</v>
      </c>
      <c r="Q18" s="166">
        <f>$D$20</f>
        <v>2.1734999999999998</v>
      </c>
    </row>
    <row r="19" spans="1:17" ht="14.25">
      <c r="A19" s="172"/>
      <c r="B19" s="205" t="s">
        <v>227</v>
      </c>
      <c r="C19" s="206"/>
      <c r="D19" s="207">
        <f>'Power Calcs'!R14</f>
        <v>3.4973743435858968</v>
      </c>
      <c r="E19" s="208" t="s">
        <v>8</v>
      </c>
      <c r="F19" s="2"/>
      <c r="G19" s="2"/>
      <c r="H19" s="2"/>
      <c r="I19" s="2"/>
      <c r="J19" s="2"/>
      <c r="K19" s="2"/>
      <c r="L19" s="2"/>
      <c r="M19" s="173"/>
      <c r="P19" s="165" t="str">
        <f>$B$21</f>
        <v>REF</v>
      </c>
      <c r="Q19" s="166">
        <f>$D$21</f>
        <v>6.2333333333333343</v>
      </c>
    </row>
    <row r="20" spans="1:17" ht="14.25">
      <c r="A20" s="172"/>
      <c r="B20" s="205" t="s">
        <v>225</v>
      </c>
      <c r="C20" s="206"/>
      <c r="D20" s="207">
        <f>'Power Calcs'!R12</f>
        <v>2.1734999999999998</v>
      </c>
      <c r="E20" s="208" t="s">
        <v>8</v>
      </c>
      <c r="F20" s="2"/>
      <c r="G20" s="2"/>
      <c r="H20" s="2"/>
      <c r="I20" s="2"/>
      <c r="J20" s="2"/>
      <c r="K20" s="2"/>
      <c r="L20" s="2"/>
      <c r="M20" s="173"/>
      <c r="P20" s="165" t="str">
        <f>$B$24</f>
        <v>TERM 2nd rank</v>
      </c>
      <c r="Q20" s="166">
        <f>$D$24</f>
        <v>0</v>
      </c>
    </row>
    <row r="21" spans="1:17" ht="14.25">
      <c r="A21" s="172"/>
      <c r="B21" s="205" t="s">
        <v>230</v>
      </c>
      <c r="C21" s="206"/>
      <c r="D21" s="207">
        <f>'Power Calcs'!R16</f>
        <v>6.2333333333333343</v>
      </c>
      <c r="E21" s="208" t="s">
        <v>8</v>
      </c>
      <c r="F21" s="2"/>
      <c r="G21" s="2"/>
      <c r="H21" s="2"/>
      <c r="I21" s="2"/>
      <c r="J21" s="2"/>
      <c r="K21" s="2"/>
      <c r="L21" s="2"/>
      <c r="M21" s="173"/>
      <c r="P21" s="163" t="s">
        <v>196</v>
      </c>
      <c r="Q21" s="162"/>
    </row>
    <row r="22" spans="1:17" ht="15">
      <c r="A22" s="172"/>
      <c r="B22" s="185"/>
      <c r="C22" s="186" t="s">
        <v>53</v>
      </c>
      <c r="D22" s="187">
        <f>SUM(D17:D21)</f>
        <v>52.765422980745186</v>
      </c>
      <c r="E22" s="188" t="s">
        <v>8</v>
      </c>
      <c r="F22" s="2"/>
      <c r="G22" s="2"/>
      <c r="H22" s="2"/>
      <c r="I22" s="2"/>
      <c r="J22" s="2"/>
      <c r="K22" s="2"/>
      <c r="L22" s="2"/>
      <c r="M22" s="173"/>
      <c r="P22" s="163" t="s">
        <v>196</v>
      </c>
      <c r="Q22" s="162"/>
    </row>
    <row r="23" spans="1:17" ht="15">
      <c r="A23" s="172"/>
      <c r="B23" s="178" t="s">
        <v>322</v>
      </c>
      <c r="C23" s="177"/>
      <c r="D23" s="179">
        <f>+D16+D11+D22</f>
        <v>281.14216671849744</v>
      </c>
      <c r="E23" s="180" t="s">
        <v>8</v>
      </c>
      <c r="F23" s="2"/>
      <c r="G23" s="2"/>
      <c r="H23" s="2"/>
      <c r="I23" s="2"/>
      <c r="J23" s="2"/>
      <c r="K23" s="2"/>
      <c r="L23" s="2"/>
      <c r="M23" s="173"/>
      <c r="P23" s="163" t="s">
        <v>196</v>
      </c>
      <c r="Q23" s="162"/>
    </row>
    <row r="24" spans="1:17" ht="15.75" thickBot="1">
      <c r="A24" s="172"/>
      <c r="B24" s="181" t="s">
        <v>236</v>
      </c>
      <c r="C24" s="182"/>
      <c r="D24" s="183">
        <f>+'Power Calcs'!R22+'Power Calcs'!R23</f>
        <v>0</v>
      </c>
      <c r="E24" s="184" t="s">
        <v>8</v>
      </c>
      <c r="F24" s="2"/>
      <c r="G24" s="2"/>
      <c r="H24" s="2"/>
      <c r="I24" s="2"/>
      <c r="J24" s="2"/>
      <c r="K24" s="2"/>
      <c r="L24" s="2"/>
      <c r="M24" s="173"/>
      <c r="P24" s="163" t="s">
        <v>196</v>
      </c>
      <c r="Q24" s="162"/>
    </row>
    <row r="25" spans="1:17">
      <c r="A25" s="172"/>
      <c r="B25" s="2"/>
      <c r="C25" s="52"/>
      <c r="D25" s="52"/>
      <c r="E25" s="2"/>
      <c r="F25" s="2"/>
      <c r="G25" s="2"/>
      <c r="H25" s="2"/>
      <c r="I25" s="2"/>
      <c r="J25" s="2"/>
      <c r="K25" s="2"/>
      <c r="L25" s="2"/>
      <c r="M25" s="173"/>
      <c r="P25" s="163" t="s">
        <v>196</v>
      </c>
      <c r="Q25" s="162"/>
    </row>
    <row r="26" spans="1:17">
      <c r="A26" s="172"/>
      <c r="B26" s="2"/>
      <c r="C26" s="52"/>
      <c r="D26" s="52"/>
      <c r="E26" s="2"/>
      <c r="F26" s="2"/>
      <c r="G26" s="2"/>
      <c r="H26" s="2"/>
      <c r="I26" s="2"/>
      <c r="J26" s="2"/>
      <c r="K26" s="2"/>
      <c r="L26" s="2"/>
      <c r="M26" s="173"/>
    </row>
    <row r="27" spans="1:17">
      <c r="A27" s="172"/>
      <c r="B27" s="2"/>
      <c r="C27" s="52"/>
      <c r="D27" s="52"/>
      <c r="E27" s="2"/>
      <c r="F27" s="2"/>
      <c r="G27" s="2"/>
      <c r="H27" s="2"/>
      <c r="I27" s="2"/>
      <c r="J27" s="2"/>
      <c r="K27" s="2"/>
      <c r="L27" s="2"/>
      <c r="M27" s="173"/>
    </row>
    <row r="28" spans="1:17">
      <c r="A28" s="172"/>
      <c r="B28" s="2"/>
      <c r="C28" s="52"/>
      <c r="D28" s="52"/>
      <c r="E28" s="2"/>
      <c r="F28" s="2"/>
      <c r="G28" s="2"/>
      <c r="H28" s="2"/>
      <c r="I28" s="2"/>
      <c r="J28" s="2"/>
      <c r="K28" s="2"/>
      <c r="L28" s="2"/>
      <c r="M28" s="173"/>
    </row>
    <row r="29" spans="1:17">
      <c r="A29" s="172"/>
      <c r="B29" s="2"/>
      <c r="C29" s="52"/>
      <c r="D29" s="52"/>
      <c r="E29" s="2"/>
      <c r="F29" s="2"/>
      <c r="G29" s="2"/>
      <c r="H29" s="2"/>
      <c r="I29" s="2"/>
      <c r="J29" s="2"/>
      <c r="K29" s="2"/>
      <c r="L29" s="2"/>
      <c r="M29" s="173"/>
    </row>
    <row r="30" spans="1:17">
      <c r="A30" s="172"/>
      <c r="B30" s="2"/>
      <c r="C30" s="52"/>
      <c r="D30" s="52"/>
      <c r="E30" s="2"/>
      <c r="F30" s="2"/>
      <c r="G30" s="2"/>
      <c r="H30" s="2"/>
      <c r="I30" s="2"/>
      <c r="J30" s="2"/>
      <c r="K30" s="2"/>
      <c r="L30" s="2"/>
      <c r="M30" s="173"/>
    </row>
    <row r="31" spans="1:17">
      <c r="A31" s="172"/>
      <c r="B31" s="2"/>
      <c r="C31" s="52"/>
      <c r="D31" s="52"/>
      <c r="E31" s="2"/>
      <c r="F31" s="2"/>
      <c r="G31" s="2"/>
      <c r="H31" s="2"/>
      <c r="I31" s="2"/>
      <c r="J31" s="2"/>
      <c r="K31" s="2"/>
      <c r="L31" s="2"/>
      <c r="M31" s="173"/>
    </row>
    <row r="32" spans="1:17">
      <c r="A32" s="172"/>
      <c r="B32" s="2"/>
      <c r="C32" s="52"/>
      <c r="D32" s="52"/>
      <c r="E32" s="2"/>
      <c r="F32" s="2"/>
      <c r="G32" s="2"/>
      <c r="H32" s="2"/>
      <c r="I32" s="2"/>
      <c r="J32" s="2"/>
      <c r="K32" s="2"/>
      <c r="L32" s="2"/>
      <c r="M32" s="173"/>
    </row>
    <row r="33" spans="1:13">
      <c r="A33" s="172"/>
      <c r="B33" s="2"/>
      <c r="C33" s="52"/>
      <c r="D33" s="52"/>
      <c r="E33" s="2"/>
      <c r="F33" s="2"/>
      <c r="G33" s="2"/>
      <c r="H33" s="2"/>
      <c r="I33" s="2"/>
      <c r="J33" s="2"/>
      <c r="K33" s="2"/>
      <c r="L33" s="2"/>
      <c r="M33" s="173"/>
    </row>
    <row r="34" spans="1:13">
      <c r="A34" s="172"/>
      <c r="B34" s="2"/>
      <c r="C34" s="52"/>
      <c r="D34" s="52"/>
      <c r="E34" s="2"/>
      <c r="F34" s="2"/>
      <c r="G34" s="2"/>
      <c r="H34" s="2"/>
      <c r="I34" s="2"/>
      <c r="J34" s="2"/>
      <c r="K34" s="2"/>
      <c r="L34" s="2"/>
      <c r="M34" s="173"/>
    </row>
    <row r="35" spans="1:13">
      <c r="A35" s="172"/>
      <c r="B35" s="2"/>
      <c r="C35" s="52"/>
      <c r="D35" s="52"/>
      <c r="E35" s="2"/>
      <c r="F35" s="2"/>
      <c r="G35" s="2"/>
      <c r="H35" s="2"/>
      <c r="I35" s="2"/>
      <c r="J35" s="2"/>
      <c r="K35" s="2"/>
      <c r="L35" s="2"/>
      <c r="M35" s="173"/>
    </row>
    <row r="36" spans="1:13">
      <c r="A36" s="172"/>
      <c r="B36" s="2"/>
      <c r="C36" s="52"/>
      <c r="D36" s="52"/>
      <c r="E36" s="2"/>
      <c r="F36" s="2"/>
      <c r="G36" s="2"/>
      <c r="H36" s="2"/>
      <c r="I36" s="2"/>
      <c r="J36" s="2"/>
      <c r="K36" s="2"/>
      <c r="L36" s="2"/>
      <c r="M36" s="173"/>
    </row>
    <row r="37" spans="1:13">
      <c r="A37" s="172"/>
      <c r="B37" s="2"/>
      <c r="C37" s="52"/>
      <c r="D37" s="52"/>
      <c r="E37" s="2"/>
      <c r="F37" s="2"/>
      <c r="G37" s="2"/>
      <c r="H37" s="2"/>
      <c r="I37" s="2"/>
      <c r="J37" s="2"/>
      <c r="K37" s="2"/>
      <c r="L37" s="2"/>
      <c r="M37" s="173"/>
    </row>
    <row r="38" spans="1:13">
      <c r="A38" s="172"/>
      <c r="B38" s="2"/>
      <c r="C38" s="52"/>
      <c r="D38" s="52"/>
      <c r="E38" s="2"/>
      <c r="F38" s="2"/>
      <c r="G38" s="2"/>
      <c r="H38" s="2"/>
      <c r="I38" s="2"/>
      <c r="J38" s="2"/>
      <c r="K38" s="2"/>
      <c r="L38" s="2"/>
      <c r="M38" s="173"/>
    </row>
    <row r="39" spans="1:13">
      <c r="A39" s="172"/>
      <c r="B39" s="2"/>
      <c r="C39" s="52"/>
      <c r="D39" s="52"/>
      <c r="E39" s="2"/>
      <c r="F39" s="2"/>
      <c r="G39" s="2"/>
      <c r="H39" s="2"/>
      <c r="I39" s="2"/>
      <c r="J39" s="2"/>
      <c r="K39" s="2"/>
      <c r="L39" s="2"/>
      <c r="M39" s="173"/>
    </row>
    <row r="40" spans="1:13">
      <c r="A40" s="172"/>
      <c r="B40" s="2"/>
      <c r="C40" s="52"/>
      <c r="D40" s="52"/>
      <c r="E40" s="2"/>
      <c r="F40" s="2"/>
      <c r="G40" s="2"/>
      <c r="H40" s="2"/>
      <c r="I40" s="2"/>
      <c r="J40" s="2"/>
      <c r="K40" s="2"/>
      <c r="L40" s="2"/>
      <c r="M40" s="173"/>
    </row>
    <row r="41" spans="1:13">
      <c r="A41" s="172"/>
      <c r="B41" s="2"/>
      <c r="C41" s="52"/>
      <c r="D41" s="52"/>
      <c r="E41" s="2"/>
      <c r="F41" s="2"/>
      <c r="G41" s="2"/>
      <c r="H41" s="2"/>
      <c r="I41" s="2"/>
      <c r="J41" s="2"/>
      <c r="K41" s="2"/>
      <c r="L41" s="2"/>
      <c r="M41" s="173"/>
    </row>
    <row r="42" spans="1:13">
      <c r="A42" s="172"/>
      <c r="B42" s="2"/>
      <c r="C42" s="52"/>
      <c r="D42" s="52"/>
      <c r="E42" s="2"/>
      <c r="F42" s="2"/>
      <c r="G42" s="2"/>
      <c r="H42" s="2"/>
      <c r="I42" s="2"/>
      <c r="J42" s="2"/>
      <c r="K42" s="2"/>
      <c r="L42" s="2"/>
      <c r="M42" s="173"/>
    </row>
    <row r="43" spans="1:13">
      <c r="A43" s="172"/>
      <c r="B43" s="2"/>
      <c r="C43" s="52"/>
      <c r="D43" s="52"/>
      <c r="E43" s="2"/>
      <c r="F43" s="2"/>
      <c r="G43" s="2"/>
      <c r="H43" s="2"/>
      <c r="I43" s="2"/>
      <c r="J43" s="2"/>
      <c r="K43" s="2"/>
      <c r="L43" s="2"/>
      <c r="M43" s="173"/>
    </row>
    <row r="44" spans="1:13">
      <c r="A44" s="172"/>
      <c r="B44" s="2"/>
      <c r="C44" s="52"/>
      <c r="D44" s="52"/>
      <c r="E44" s="2"/>
      <c r="F44" s="2"/>
      <c r="G44" s="2"/>
      <c r="H44" s="2"/>
      <c r="I44" s="2"/>
      <c r="J44" s="2"/>
      <c r="K44" s="2"/>
      <c r="L44" s="2"/>
      <c r="M44" s="173"/>
    </row>
    <row r="45" spans="1:13">
      <c r="A45" s="172"/>
      <c r="B45" s="2"/>
      <c r="C45" s="2"/>
      <c r="D45" s="2"/>
      <c r="E45" s="2"/>
      <c r="F45" s="2"/>
      <c r="G45" s="2"/>
      <c r="H45" s="2"/>
      <c r="I45" s="2"/>
      <c r="J45" s="2"/>
      <c r="K45" s="2"/>
      <c r="L45" s="2"/>
      <c r="M45" s="173"/>
    </row>
    <row r="46" spans="1:13">
      <c r="A46" s="172"/>
      <c r="B46" s="2"/>
      <c r="C46" s="2"/>
      <c r="D46" s="2"/>
      <c r="E46" s="2"/>
      <c r="F46" s="2"/>
      <c r="G46" s="2"/>
      <c r="H46" s="2"/>
      <c r="I46" s="2"/>
      <c r="J46" s="2"/>
      <c r="K46" s="2"/>
      <c r="L46" s="2"/>
      <c r="M46" s="173"/>
    </row>
    <row r="47" spans="1:13">
      <c r="A47" s="172"/>
      <c r="B47" s="2"/>
      <c r="C47" s="2"/>
      <c r="D47" s="2"/>
      <c r="E47" s="2"/>
      <c r="F47" s="2"/>
      <c r="G47" s="2"/>
      <c r="H47" s="2"/>
      <c r="I47" s="2"/>
      <c r="J47" s="2"/>
      <c r="K47" s="2"/>
      <c r="L47" s="2"/>
      <c r="M47" s="173"/>
    </row>
    <row r="48" spans="1:13">
      <c r="A48" s="172"/>
      <c r="B48" s="2"/>
      <c r="C48" s="2"/>
      <c r="D48" s="2"/>
      <c r="E48" s="2"/>
      <c r="F48" s="2"/>
      <c r="G48" s="2"/>
      <c r="H48" s="2"/>
      <c r="I48" s="2"/>
      <c r="J48" s="2"/>
      <c r="K48" s="2"/>
      <c r="L48" s="2"/>
      <c r="M48" s="173"/>
    </row>
    <row r="49" spans="1:13" hidden="1">
      <c r="A49" s="172" t="str">
        <f>CONCATENATE("System is operating at ",'System Config'!D9," MHz clock with VDD = ",'System Config'!D8,"V.")</f>
        <v>System is operating at 800 MHz clock with VDD = 2.5V.</v>
      </c>
      <c r="B49" s="2"/>
      <c r="C49" s="2"/>
      <c r="D49" s="2"/>
      <c r="E49" s="2"/>
      <c r="F49" s="2"/>
      <c r="G49" s="2"/>
      <c r="H49" s="2"/>
      <c r="I49" s="2"/>
      <c r="J49" s="2"/>
      <c r="K49" s="2"/>
      <c r="L49" s="2"/>
      <c r="M49" s="173"/>
    </row>
    <row r="50" spans="1:13" hidden="1">
      <c r="A50" s="172" t="str">
        <f>CONCATENATE("Read bandwidth is ",B52," MT/s with write bandwidth of ",B53," MT/s. The DRAM terminates  ",B54," MT/s.")</f>
        <v>Read bandwidth is 960 MT/s with write bandwidth of 1600 MT/s. The DRAM terminates  0 MT/s.</v>
      </c>
      <c r="B50" s="2"/>
      <c r="C50" s="2"/>
      <c r="D50" s="2"/>
      <c r="E50" s="2"/>
      <c r="F50" s="2"/>
      <c r="G50" s="2"/>
      <c r="H50" s="2"/>
      <c r="I50" s="2"/>
      <c r="J50" s="2"/>
      <c r="K50" s="2"/>
      <c r="L50" s="2"/>
      <c r="M50" s="173"/>
    </row>
    <row r="51" spans="1:13" hidden="1">
      <c r="A51" s="172" t="str">
        <f>CONCATENATE("ACT commands are separated by ",'System Config'!D29,"ns on average.")</f>
        <v>ACT commands are separated by 31.2ns on average.</v>
      </c>
      <c r="B51" s="2"/>
      <c r="C51" s="2"/>
      <c r="D51" s="2"/>
      <c r="E51" s="2"/>
      <c r="F51" s="2"/>
      <c r="G51" s="2"/>
      <c r="H51" s="2"/>
      <c r="I51" s="2"/>
      <c r="J51" s="2"/>
      <c r="K51" s="2"/>
      <c r="L51" s="2"/>
      <c r="M51" s="173"/>
    </row>
    <row r="52" spans="1:13" hidden="1">
      <c r="A52" s="172"/>
      <c r="B52" s="53">
        <f>INT('System Config'!D9*'System Config'!D23*'DDR4 Config'!D8/8*20+0.999)/10</f>
        <v>960</v>
      </c>
      <c r="C52" s="2" t="s">
        <v>30</v>
      </c>
      <c r="D52" s="2"/>
      <c r="E52" s="2"/>
      <c r="F52" s="2"/>
      <c r="G52" s="2"/>
      <c r="H52" s="2"/>
      <c r="I52" s="2"/>
      <c r="J52" s="2"/>
      <c r="K52" s="2"/>
      <c r="L52" s="2"/>
      <c r="M52" s="173"/>
    </row>
    <row r="53" spans="1:13" hidden="1">
      <c r="A53" s="172" t="s">
        <v>12</v>
      </c>
      <c r="B53" s="54">
        <f>INT('System Config'!D9*'System Config'!D24*'DDR4 Config'!D8/8*20+0.99)/10</f>
        <v>1600</v>
      </c>
      <c r="C53" s="2" t="s">
        <v>30</v>
      </c>
      <c r="D53" s="2"/>
      <c r="E53" s="2"/>
      <c r="F53" s="2"/>
      <c r="G53" s="2"/>
      <c r="H53" s="2"/>
      <c r="I53" s="2"/>
      <c r="J53" s="2"/>
      <c r="K53" s="2"/>
      <c r="L53" s="2"/>
      <c r="M53" s="173"/>
    </row>
    <row r="54" spans="1:13" hidden="1">
      <c r="A54" s="172" t="s">
        <v>29</v>
      </c>
      <c r="B54" s="55">
        <f>INT('System Config'!D9*('System Config'!D27+'System Config'!D26)*'DDR4 Config'!D8/8*20+0.99)/10</f>
        <v>0</v>
      </c>
      <c r="C54" s="2" t="s">
        <v>30</v>
      </c>
      <c r="D54" s="2"/>
      <c r="E54" s="2"/>
      <c r="F54" s="2"/>
      <c r="G54" s="2"/>
      <c r="H54" s="2"/>
      <c r="I54" s="2"/>
      <c r="J54" s="2"/>
      <c r="K54" s="2"/>
      <c r="L54" s="2"/>
      <c r="M54" s="173"/>
    </row>
    <row r="55" spans="1:13" hidden="1">
      <c r="A55" s="172" t="s">
        <v>87</v>
      </c>
      <c r="B55" s="2"/>
      <c r="C55" s="2"/>
      <c r="D55" s="2"/>
      <c r="E55" s="2"/>
      <c r="F55" s="2"/>
      <c r="G55" s="2"/>
      <c r="H55" s="2"/>
      <c r="I55" s="2"/>
      <c r="J55" s="2"/>
      <c r="K55" s="2"/>
      <c r="L55" s="2"/>
      <c r="M55" s="173"/>
    </row>
    <row r="56" spans="1:13" hidden="1">
      <c r="A56" s="172"/>
      <c r="B56" s="2"/>
      <c r="C56" s="2"/>
      <c r="D56" s="2"/>
      <c r="E56" s="2"/>
      <c r="F56" s="2"/>
      <c r="G56" s="2"/>
      <c r="H56" s="2"/>
      <c r="I56" s="2"/>
      <c r="J56" s="2"/>
      <c r="K56" s="2"/>
      <c r="L56" s="2"/>
      <c r="M56" s="173"/>
    </row>
    <row r="57" spans="1:13">
      <c r="A57" s="172"/>
      <c r="B57" s="2"/>
      <c r="C57" s="2"/>
      <c r="D57" s="2"/>
      <c r="E57" s="2"/>
      <c r="F57" s="2"/>
      <c r="G57" s="2"/>
      <c r="H57" s="2"/>
      <c r="I57" s="2"/>
      <c r="J57" s="2"/>
      <c r="K57" s="2"/>
      <c r="L57" s="2"/>
      <c r="M57" s="173"/>
    </row>
    <row r="58" spans="1:13">
      <c r="A58" s="172"/>
      <c r="B58" s="2"/>
      <c r="C58" s="2"/>
      <c r="D58" s="2"/>
      <c r="E58" s="2"/>
      <c r="F58" s="2"/>
      <c r="G58" s="2"/>
      <c r="H58" s="2"/>
      <c r="I58" s="2"/>
      <c r="J58" s="2"/>
      <c r="K58" s="2"/>
      <c r="L58" s="2"/>
      <c r="M58" s="173"/>
    </row>
    <row r="59" spans="1:13">
      <c r="A59" s="172"/>
      <c r="B59" s="2"/>
      <c r="C59" s="2"/>
      <c r="D59" s="2"/>
      <c r="E59" s="2"/>
      <c r="F59" s="2"/>
      <c r="G59" s="2"/>
      <c r="H59" s="2"/>
      <c r="I59" s="2"/>
      <c r="J59" s="2"/>
      <c r="K59" s="2"/>
      <c r="L59" s="2"/>
      <c r="M59" s="173"/>
    </row>
    <row r="60" spans="1:13">
      <c r="A60" s="172"/>
      <c r="B60" s="2"/>
      <c r="C60" s="2"/>
      <c r="D60" s="2"/>
      <c r="E60" s="2"/>
      <c r="F60" s="2"/>
      <c r="G60" s="2"/>
      <c r="H60" s="2"/>
      <c r="I60" s="2"/>
      <c r="J60" s="2"/>
      <c r="K60" s="2"/>
      <c r="L60" s="2"/>
      <c r="M60" s="173"/>
    </row>
    <row r="61" spans="1:13">
      <c r="A61" s="172"/>
      <c r="B61" s="2"/>
      <c r="C61" s="2"/>
      <c r="D61" s="2"/>
      <c r="E61" s="2"/>
      <c r="F61" s="2"/>
      <c r="G61" s="2"/>
      <c r="H61" s="2"/>
      <c r="I61" s="2"/>
      <c r="J61" s="2"/>
      <c r="K61" s="2"/>
      <c r="L61" s="2"/>
      <c r="M61" s="173"/>
    </row>
    <row r="62" spans="1:13">
      <c r="A62" s="172"/>
      <c r="B62" s="2"/>
      <c r="C62" s="2"/>
      <c r="D62" s="2"/>
      <c r="E62" s="2"/>
      <c r="F62" s="2"/>
      <c r="G62" s="2"/>
      <c r="H62" s="2"/>
      <c r="I62" s="2"/>
      <c r="J62" s="2"/>
      <c r="K62" s="2"/>
      <c r="L62" s="2"/>
      <c r="M62" s="173"/>
    </row>
    <row r="63" spans="1:13">
      <c r="A63" s="172"/>
      <c r="B63" s="2"/>
      <c r="C63" s="2"/>
      <c r="D63" s="2"/>
      <c r="E63" s="2"/>
      <c r="F63" s="2"/>
      <c r="G63" s="2"/>
      <c r="H63" s="2"/>
      <c r="I63" s="2"/>
      <c r="J63" s="2"/>
      <c r="K63" s="2"/>
      <c r="L63" s="2"/>
      <c r="M63" s="173"/>
    </row>
    <row r="64" spans="1:13" ht="13.5" thickBot="1">
      <c r="A64" s="174"/>
      <c r="B64" s="175"/>
      <c r="C64" s="175"/>
      <c r="D64" s="175"/>
      <c r="E64" s="175"/>
      <c r="F64" s="175"/>
      <c r="G64" s="175"/>
      <c r="H64" s="175"/>
      <c r="I64" s="175"/>
      <c r="J64" s="175"/>
      <c r="K64" s="175"/>
      <c r="L64" s="175"/>
      <c r="M64" s="176"/>
    </row>
  </sheetData>
  <mergeCells count="1">
    <mergeCell ref="B8:E8"/>
  </mergeCells>
  <phoneticPr fontId="0" type="noConversion"/>
  <printOptions horizontalCentered="1"/>
  <pageMargins left="0.25" right="0.25" top="0.25" bottom="0.25" header="0.5" footer="0.5"/>
  <pageSetup scale="79"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sheetData/>
  <phoneticPr fontId="57"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7</vt:i4>
      </vt:variant>
    </vt:vector>
  </HeadingPairs>
  <TitlesOfParts>
    <vt:vector size="15" baseType="lpstr">
      <vt:lpstr>Title</vt:lpstr>
      <vt:lpstr>Instructions</vt:lpstr>
      <vt:lpstr>DDR4 Spec</vt:lpstr>
      <vt:lpstr>DDR4 Config</vt:lpstr>
      <vt:lpstr>System Config</vt:lpstr>
      <vt:lpstr>Power Calcs</vt:lpstr>
      <vt:lpstr>Summary</vt:lpstr>
      <vt:lpstr>Sheet1</vt:lpstr>
      <vt:lpstr>'DDR4 Config'!Print_Area</vt:lpstr>
      <vt:lpstr>'DDR4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Kaiyuan Guo</cp:lastModifiedBy>
  <cp:lastPrinted>2007-03-14T16:31:05Z</cp:lastPrinted>
  <dcterms:created xsi:type="dcterms:W3CDTF">2001-02-07T14:39:54Z</dcterms:created>
  <dcterms:modified xsi:type="dcterms:W3CDTF">2017-07-04T10:03:32Z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